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KPIs" sheetId="1" state="visible" r:id="rId1"/>
    <sheet name="Monthly" sheetId="2" state="visible" r:id="rId2"/>
    <sheet name="Cohorts" sheetId="3" state="visible" r:id="rId3"/>
    <sheet name="Channels" sheetId="4" state="visible" r:id="rId4"/>
    <sheet name="Products" sheetId="5" state="visible" r:id="rId5"/>
    <sheet name="Charts" sheetId="6" state="visible" r:id="rId6"/>
    <sheet name="Data Quality Log" sheetId="7" state="visible" r:id="rId7"/>
    <sheet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b val="1"/>
      <color rgb="000B0B0B"/>
      <sz val="14"/>
    </font>
    <font>
      <i val="1"/>
      <color rgb="0052514E"/>
      <sz val="9"/>
    </font>
    <font>
      <b val="1"/>
      <color rgb="00FFFFFF"/>
    </font>
    <font>
      <b val="1"/>
    </font>
    <font>
      <color rgb="0052514E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bottom style="thin">
        <color rgb="00E4E3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643937" cy="4086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643937" cy="4086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643937" cy="502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0215562" cy="44005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Northwind Home Goods — Performance Report</t>
        </is>
      </c>
    </row>
    <row r="2">
      <c r="A2" s="2" t="inlineStr">
        <is>
          <t>Sample project — synthetic data, not client work. Period 2025-04 to 2026-09, all values USD.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Definition</t>
        </is>
      </c>
    </row>
    <row r="5">
      <c r="A5" s="4" t="inlineStr">
        <is>
          <t>Net revenue</t>
        </is>
      </c>
      <c r="B5" s="5" t="n">
        <v>1452336.6824</v>
      </c>
      <c r="C5" s="6" t="inlineStr">
        <is>
          <t>Gross sales − discounts − refunds</t>
        </is>
      </c>
    </row>
    <row r="6">
      <c r="A6" s="4" t="inlineStr">
        <is>
          <t>Gross sales</t>
        </is>
      </c>
      <c r="B6" s="5" t="n">
        <v>1630749.2388</v>
      </c>
      <c r="C6" s="6" t="inlineStr">
        <is>
          <t>Quantity × unit price</t>
        </is>
      </c>
    </row>
    <row r="7">
      <c r="A7" s="4" t="inlineStr">
        <is>
          <t>Discounts</t>
        </is>
      </c>
      <c r="B7" s="5" t="n">
        <v>63214.38799999999</v>
      </c>
      <c r="C7" s="6" t="inlineStr"/>
    </row>
    <row r="8">
      <c r="A8" s="4" t="inlineStr">
        <is>
          <t>Refunds</t>
        </is>
      </c>
      <c r="B8" s="5" t="n">
        <v>115198.1684</v>
      </c>
      <c r="C8" s="6" t="inlineStr"/>
    </row>
    <row r="9">
      <c r="A9" s="4" t="inlineStr">
        <is>
          <t>Orders</t>
        </is>
      </c>
      <c r="B9" s="7" t="n">
        <v>10386</v>
      </c>
      <c r="C9" s="6" t="inlineStr">
        <is>
          <t>Distinct valid orders</t>
        </is>
      </c>
    </row>
    <row r="10">
      <c r="A10" s="4" t="inlineStr">
        <is>
          <t>AOV</t>
        </is>
      </c>
      <c r="B10" s="8" t="n">
        <v>139.835998690545</v>
      </c>
      <c r="C10" s="6" t="inlineStr">
        <is>
          <t>Net revenue ÷ orders</t>
        </is>
      </c>
    </row>
    <row r="11">
      <c r="A11" s="4" t="inlineStr">
        <is>
          <t>Identified customers</t>
        </is>
      </c>
      <c r="B11" s="7" t="n">
        <v>7682</v>
      </c>
      <c r="C11" s="6" t="inlineStr">
        <is>
          <t>Unique emails</t>
        </is>
      </c>
    </row>
    <row r="12">
      <c r="A12" s="4" t="inlineStr">
        <is>
          <t>Repeat-customer rate</t>
        </is>
      </c>
      <c r="B12" s="9" t="n">
        <v>0.234444155167925</v>
      </c>
      <c r="C12" s="6" t="inlineStr">
        <is>
          <t>Share of customers with 2+ orders</t>
        </is>
      </c>
    </row>
    <row r="13">
      <c r="A13" s="4" t="inlineStr">
        <is>
          <t>New customers</t>
        </is>
      </c>
      <c r="B13" s="7" t="n">
        <v>7682</v>
      </c>
      <c r="C13" s="6" t="inlineStr">
        <is>
          <t>First-ever order in period</t>
        </is>
      </c>
    </row>
    <row r="14">
      <c r="A14" s="4" t="inlineStr">
        <is>
          <t>Ad spend (Meta + Google)</t>
        </is>
      </c>
      <c r="B14" s="5" t="n">
        <v>288607.22</v>
      </c>
      <c r="C14" s="6" t="inlineStr"/>
    </row>
    <row r="15">
      <c r="A15" s="4" t="inlineStr">
        <is>
          <t>MER (net revenue ÷ ad spend)</t>
        </is>
      </c>
      <c r="B15" s="10" t="n">
        <v>5.032225744040638</v>
      </c>
      <c r="C15" s="6" t="inlineStr">
        <is>
          <t>Blended marketing efficiency</t>
        </is>
      </c>
    </row>
    <row r="16">
      <c r="A16" s="4" t="inlineStr">
        <is>
          <t>Blended CAC</t>
        </is>
      </c>
      <c r="B16" s="8" t="n">
        <v>37.56928143712575</v>
      </c>
      <c r="C16" s="6" t="inlineStr">
        <is>
          <t>Ad spend ÷ all new customers</t>
        </is>
      </c>
    </row>
    <row r="17">
      <c r="A17" s="4" t="inlineStr">
        <is>
          <t>Meta ROAS</t>
        </is>
      </c>
      <c r="B17" s="10" t="n">
        <v>2.359888548999873</v>
      </c>
      <c r="C17" s="6" t="inlineStr">
        <is>
          <t>Last-click</t>
        </is>
      </c>
    </row>
    <row r="18">
      <c r="A18" s="4" t="inlineStr">
        <is>
          <t>Google ROAS</t>
        </is>
      </c>
      <c r="B18" s="10" t="n">
        <v>2.844102680962935</v>
      </c>
      <c r="C18" s="6" t="inlineStr">
        <is>
          <t>Last-click</t>
        </is>
      </c>
    </row>
    <row r="19">
      <c r="A19" s="4" t="inlineStr">
        <is>
          <t>Meta CAC</t>
        </is>
      </c>
      <c r="B19" s="8" t="n">
        <v>66.28562185478073</v>
      </c>
      <c r="C19" s="6" t="inlineStr">
        <is>
          <t>Meta spend ÷ Meta-acquired new customers</t>
        </is>
      </c>
    </row>
    <row r="20">
      <c r="A20" s="4" t="inlineStr">
        <is>
          <t>Google CAC</t>
        </is>
      </c>
      <c r="B20" s="8" t="n">
        <v>55.66272435897436</v>
      </c>
      <c r="C20" s="6" t="inlineStr">
        <is>
          <t>Google spend ÷ Google-acquired new customers</t>
        </is>
      </c>
    </row>
    <row r="21">
      <c r="A21" s="4" t="inlineStr">
        <is>
          <t>Refund rate</t>
        </is>
      </c>
      <c r="B21" s="9" t="n">
        <v>0.07349002055119092</v>
      </c>
      <c r="C21" s="6" t="inlineStr">
        <is>
          <t>Refunds ÷ (gross − discounts)</t>
        </is>
      </c>
    </row>
    <row r="22">
      <c r="A22" s="4" t="inlineStr">
        <is>
          <t>Gross margin %</t>
        </is>
      </c>
      <c r="B22" s="9" t="n">
        <v>0.6063368040424288</v>
      </c>
      <c r="C22" s="6" t="inlineStr">
        <is>
          <t>(Net revenue − COGS) ÷ net revenue</t>
        </is>
      </c>
    </row>
    <row r="24">
      <c r="A24" s="11" t="inlineStr">
        <is>
          <t>Latest month vs prior month and same month last year</t>
        </is>
      </c>
    </row>
    <row r="25" ht="32" customHeight="1">
      <c r="A25" s="12" t="inlineStr">
        <is>
          <t>Metric</t>
        </is>
      </c>
      <c r="B25" s="12" t="inlineStr">
        <is>
          <t>2026-09</t>
        </is>
      </c>
      <c r="C25" s="12" t="inlineStr">
        <is>
          <t>2026-08</t>
        </is>
      </c>
      <c r="D25" s="12" t="inlineStr">
        <is>
          <t>2025-09</t>
        </is>
      </c>
      <c r="E25" s="12" t="inlineStr">
        <is>
          <t>Δ vs prior month (relative)</t>
        </is>
      </c>
      <c r="F25" s="12" t="inlineStr">
        <is>
          <t>Δ vs last year (relative)</t>
        </is>
      </c>
    </row>
    <row r="26">
      <c r="A26" s="13" t="inlineStr">
        <is>
          <t>Net revenue</t>
        </is>
      </c>
      <c r="B26" s="5" t="n">
        <v>96211.8236</v>
      </c>
      <c r="C26" s="5" t="n">
        <v>103987.1423</v>
      </c>
      <c r="D26" s="5" t="n">
        <v>69055.8812</v>
      </c>
      <c r="E26" s="9" t="n">
        <v>-0.07477192399006816</v>
      </c>
      <c r="F26" s="9" t="n">
        <v>0.3932459035798967</v>
      </c>
    </row>
    <row r="27">
      <c r="A27" s="13" t="inlineStr">
        <is>
          <t>Orders</t>
        </is>
      </c>
      <c r="B27" s="7" t="n">
        <v>686</v>
      </c>
      <c r="C27" s="7" t="n">
        <v>717</v>
      </c>
      <c r="D27" s="7" t="n">
        <v>480</v>
      </c>
      <c r="E27" s="9" t="n">
        <v>-0.04323570432357038</v>
      </c>
      <c r="F27" s="9" t="n">
        <v>0.4291666666666667</v>
      </c>
    </row>
    <row r="28">
      <c r="A28" s="13" t="inlineStr">
        <is>
          <t>AOV</t>
        </is>
      </c>
      <c r="B28" s="8" t="n">
        <v>140.2504717201166</v>
      </c>
      <c r="C28" s="8" t="n">
        <v>145.0308818688982</v>
      </c>
      <c r="D28" s="8" t="n">
        <v>143.8664191666667</v>
      </c>
      <c r="E28" s="9" t="n">
        <v>-0.03296132580303046</v>
      </c>
      <c r="F28" s="9" t="n">
        <v>-0.02513406163505771</v>
      </c>
    </row>
    <row r="29">
      <c r="A29" s="13" t="inlineStr">
        <is>
          <t>Repeat-customer rate</t>
        </is>
      </c>
      <c r="B29" s="9" t="n">
        <v>0.3185185185185185</v>
      </c>
      <c r="C29" s="9" t="n">
        <v>0.3168316831683168</v>
      </c>
      <c r="D29" s="9" t="n">
        <v>0.2050209205020921</v>
      </c>
      <c r="E29" s="9" t="n">
        <v>0.005324074074074092</v>
      </c>
      <c r="F29" s="9" t="n">
        <v>0.5535903250188965</v>
      </c>
    </row>
    <row r="30">
      <c r="A30" s="13" t="inlineStr">
        <is>
          <t>Ad spend</t>
        </is>
      </c>
      <c r="B30" s="5" t="n">
        <v>19613.16</v>
      </c>
      <c r="C30" s="5" t="n">
        <v>18750.61</v>
      </c>
      <c r="D30" s="5" t="n">
        <v>13919.6</v>
      </c>
      <c r="E30" s="9" t="n">
        <v>0.04600117009526627</v>
      </c>
      <c r="F30" s="9" t="n">
        <v>0.4090318687318601</v>
      </c>
    </row>
    <row r="31">
      <c r="A31" s="13" t="inlineStr">
        <is>
          <t>MER</t>
        </is>
      </c>
      <c r="B31" s="10" t="n">
        <v>4.905472835585902</v>
      </c>
      <c r="C31" s="10" t="n">
        <v>5.545800499290423</v>
      </c>
      <c r="D31" s="10" t="n">
        <v>4.961053564757608</v>
      </c>
      <c r="E31" s="9" t="n">
        <v>-0.115461719870098</v>
      </c>
      <c r="F31" s="9" t="n">
        <v>-0.01120341242967848</v>
      </c>
    </row>
    <row r="32">
      <c r="A32" s="13" t="inlineStr">
        <is>
          <t>Blended CAC</t>
        </is>
      </c>
      <c r="B32" s="8" t="n">
        <v>42.63730434782609</v>
      </c>
      <c r="C32" s="8" t="n">
        <v>38.82113871635611</v>
      </c>
      <c r="D32" s="8" t="n">
        <v>36.63052631578947</v>
      </c>
      <c r="E32" s="9" t="n">
        <v>0.09830122860002954</v>
      </c>
      <c r="F32" s="9" t="n">
        <v>0.1639828480828409</v>
      </c>
    </row>
    <row r="34">
      <c r="A34" s="11" t="inlineStr">
        <is>
          <t>Supporting figures quoted in the executive summary</t>
        </is>
      </c>
    </row>
    <row r="35">
      <c r="A35" s="3" t="inlineStr">
        <is>
          <t>Figure</t>
        </is>
      </c>
      <c r="B35" s="3" t="inlineStr">
        <is>
          <t>Value</t>
        </is>
      </c>
      <c r="C35" s="3" t="inlineStr">
        <is>
          <t>Source</t>
        </is>
      </c>
    </row>
    <row r="36">
      <c r="A36" s="13" t="inlineStr">
        <is>
          <t>Meta spend, first 6 months</t>
        </is>
      </c>
      <c r="B36" s="5" t="n">
        <v>45155.7</v>
      </c>
      <c r="C36" s="6" t="inlineStr">
        <is>
          <t>Channels sheet, monthly block</t>
        </is>
      </c>
    </row>
    <row r="37">
      <c r="A37" s="13" t="inlineStr">
        <is>
          <t>Meta spend, last 6 months</t>
        </is>
      </c>
      <c r="B37" s="5" t="n">
        <v>70850.89</v>
      </c>
      <c r="C37" s="6" t="inlineStr"/>
    </row>
    <row r="38">
      <c r="A38" s="13" t="inlineStr">
        <is>
          <t>Meta ROAS, first 6 months</t>
        </is>
      </c>
      <c r="B38" s="10" t="n">
        <v>2.956614930119563</v>
      </c>
      <c r="C38" s="6" t="inlineStr"/>
    </row>
    <row r="39">
      <c r="A39" s="13" t="inlineStr">
        <is>
          <t>Meta ROAS, last 6 months</t>
        </is>
      </c>
      <c r="B39" s="10" t="n">
        <v>2.017746501137812</v>
      </c>
      <c r="C39" s="6" t="inlineStr"/>
    </row>
    <row r="40">
      <c r="A40" s="13" t="inlineStr">
        <is>
          <t>Meta CAC, first 6 months</t>
        </is>
      </c>
      <c r="B40" s="8" t="n">
        <v>52.56775320139698</v>
      </c>
      <c r="C40" s="6" t="inlineStr"/>
    </row>
    <row r="41">
      <c r="A41" s="13" t="inlineStr">
        <is>
          <t>Meta CAC, last 6 months</t>
        </is>
      </c>
      <c r="B41" s="8" t="n">
        <v>78.28827624309392</v>
      </c>
      <c r="C41" s="6" t="inlineStr"/>
    </row>
    <row r="42">
      <c r="A42" s="13" t="inlineStr">
        <is>
          <t>Google ROAS, last 6 months</t>
        </is>
      </c>
      <c r="B42" s="10" t="n">
        <v>3.069192970223766</v>
      </c>
      <c r="C42" s="6" t="inlineStr"/>
    </row>
    <row r="43">
      <c r="A43" s="13" t="inlineStr">
        <is>
          <t>Google CAC, last 6 months</t>
        </is>
      </c>
      <c r="B43" s="8" t="n">
        <v>54.97825757575758</v>
      </c>
      <c r="C43" s="6" t="inlineStr"/>
    </row>
    <row r="44">
      <c r="A44" s="13" t="inlineStr">
        <is>
          <t>Break-even ROAS (1 ÷ gross margin)</t>
        </is>
      </c>
      <c r="B44" s="10" t="n">
        <v>1.649248393521605</v>
      </c>
      <c r="C44" s="6" t="inlineStr"/>
    </row>
    <row r="45">
      <c r="A45" s="13" t="inlineStr">
        <is>
          <t>Month-1 retention (size-weighted)</t>
        </is>
      </c>
      <c r="B45" s="9" t="n">
        <v>0.0522016062032678</v>
      </c>
      <c r="C45" s="6" t="inlineStr">
        <is>
          <t>Cohorts sheet, M1 column</t>
        </is>
      </c>
    </row>
    <row r="46">
      <c r="A46" s="13" t="inlineStr">
        <is>
          <t>Repeat rate, Bedding in first order</t>
        </is>
      </c>
      <c r="B46" s="9" t="n">
        <v>0.307485833581867</v>
      </c>
      <c r="C46" s="6" t="inlineStr">
        <is>
          <t>Customers with 2+ orders</t>
        </is>
      </c>
    </row>
    <row r="47">
      <c r="A47" s="13" t="inlineStr">
        <is>
          <t>Repeat rate, no Bedding in first order</t>
        </is>
      </c>
      <c r="B47" s="9" t="n">
        <v>0.1778701778701779</v>
      </c>
      <c r="C47" s="6" t="inlineStr"/>
    </row>
    <row r="48">
      <c r="A48" s="13" t="inlineStr">
        <is>
          <t>Refund rate, BED-001</t>
        </is>
      </c>
      <c r="B48" s="9" t="n">
        <v>0.1899024389608071</v>
      </c>
      <c r="C48" s="6" t="inlineStr">
        <is>
          <t>Products sheet</t>
        </is>
      </c>
    </row>
    <row r="49">
      <c r="A49" s="13" t="inlineStr">
        <is>
          <t>Refunds, BED-001</t>
        </is>
      </c>
      <c r="B49" s="5" t="n">
        <v>25874.8232</v>
      </c>
      <c r="C49" s="6" t="inlineStr"/>
    </row>
    <row r="50">
      <c r="A50" s="13" t="inlineStr">
        <is>
          <t>Refunds above store-average rate, BED-001</t>
        </is>
      </c>
      <c r="B50" s="5" t="n">
        <v>15861.56955706558</v>
      </c>
      <c r="C50" s="6" t="inlineStr"/>
    </row>
    <row r="51">
      <c r="A51" s="13" t="inlineStr">
        <is>
          <t>Discount rate, 2025-11</t>
        </is>
      </c>
      <c r="B51" s="9" t="n">
        <v>0.09668027519061051</v>
      </c>
      <c r="C51" s="6" t="inlineStr">
        <is>
          <t>Discounts ÷ gross sales</t>
        </is>
      </c>
    </row>
    <row r="52">
      <c r="A52" s="13" t="inlineStr">
        <is>
          <t>Discount rate, all other months</t>
        </is>
      </c>
      <c r="B52" s="9" t="n">
        <v>0.03308966078022296</v>
      </c>
      <c r="C52" s="6" t="inlineStr"/>
    </row>
    <row r="53">
      <c r="A53" s="13" t="inlineStr">
        <is>
          <t>Gross margin, 2025-11</t>
        </is>
      </c>
      <c r="B53" s="9" t="n">
        <v>0.5756687528108858</v>
      </c>
      <c r="C53" s="6" t="inlineStr">
        <is>
          <t>Monthly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Monthly performance</t>
        </is>
      </c>
    </row>
    <row r="2">
      <c r="A2" s="2" t="inlineStr">
        <is>
          <t>Sample project — synthetic data, not client work. Months in store time (America/New_York).</t>
        </is>
      </c>
    </row>
    <row r="4" ht="32" customHeight="1">
      <c r="A4" s="12" t="inlineStr">
        <is>
          <t>Month</t>
        </is>
      </c>
      <c r="B4" s="12" t="inlineStr">
        <is>
          <t>Orders</t>
        </is>
      </c>
      <c r="C4" s="12" t="inlineStr">
        <is>
          <t>Gross Sales</t>
        </is>
      </c>
      <c r="D4" s="12" t="inlineStr">
        <is>
          <t>Discounts</t>
        </is>
      </c>
      <c r="E4" s="12" t="inlineStr">
        <is>
          <t>Refunds</t>
        </is>
      </c>
      <c r="F4" s="12" t="inlineStr">
        <is>
          <t>Net Revenue</t>
        </is>
      </c>
      <c r="G4" s="12" t="inlineStr">
        <is>
          <t>COGS</t>
        </is>
      </c>
      <c r="H4" s="12" t="inlineStr">
        <is>
          <t>AOV</t>
        </is>
      </c>
      <c r="I4" s="12" t="inlineStr">
        <is>
          <t>Gross Margin %</t>
        </is>
      </c>
      <c r="J4" s="12" t="inlineStr">
        <is>
          <t>Customers</t>
        </is>
      </c>
      <c r="K4" s="12" t="inlineStr">
        <is>
          <t>New Customers</t>
        </is>
      </c>
      <c r="L4" s="12" t="inlineStr">
        <is>
          <t>Returning Customers</t>
        </is>
      </c>
      <c r="M4" s="12" t="inlineStr">
        <is>
          <t>Repeat Customer Rate</t>
        </is>
      </c>
      <c r="N4" s="12" t="inlineStr">
        <is>
          <t>Ad Spend</t>
        </is>
      </c>
      <c r="O4" s="12" t="inlineStr">
        <is>
          <t>MER</t>
        </is>
      </c>
      <c r="P4" s="12" t="inlineStr">
        <is>
          <t>Blended CAC</t>
        </is>
      </c>
    </row>
    <row r="5">
      <c r="A5" s="13" t="inlineStr">
        <is>
          <t>2025-04</t>
        </is>
      </c>
      <c r="B5" s="7" t="n">
        <v>332</v>
      </c>
      <c r="C5" s="5" t="n">
        <v>54312.1242</v>
      </c>
      <c r="D5" s="5" t="n">
        <v>2425.8012</v>
      </c>
      <c r="E5" s="5" t="n">
        <v>4884.6619</v>
      </c>
      <c r="F5" s="5" t="n">
        <v>47001.6611</v>
      </c>
      <c r="G5" s="5" t="n">
        <v>19252.5</v>
      </c>
      <c r="H5" s="8" t="n">
        <v>141.571268373494</v>
      </c>
      <c r="I5" s="9" t="n">
        <v>0.5903868172012329</v>
      </c>
      <c r="J5" s="7" t="n">
        <v>329</v>
      </c>
      <c r="K5" s="7" t="n">
        <v>329</v>
      </c>
      <c r="L5" s="7" t="n">
        <v>0</v>
      </c>
      <c r="M5" s="9" t="n">
        <v>0</v>
      </c>
      <c r="N5" s="5" t="n">
        <v>10636.62</v>
      </c>
      <c r="O5" s="10" t="n">
        <v>4.418853084908552</v>
      </c>
      <c r="P5" s="8" t="n">
        <v>32.33015197568389</v>
      </c>
    </row>
    <row r="6">
      <c r="A6" s="13" t="inlineStr">
        <is>
          <t>2025-05</t>
        </is>
      </c>
      <c r="B6" s="7" t="n">
        <v>439</v>
      </c>
      <c r="C6" s="5" t="n">
        <v>72904.29029999999</v>
      </c>
      <c r="D6" s="5" t="n">
        <v>2178.0815</v>
      </c>
      <c r="E6" s="5" t="n">
        <v>4062.1473</v>
      </c>
      <c r="F6" s="5" t="n">
        <v>66664.0615</v>
      </c>
      <c r="G6" s="5" t="n">
        <v>25721.5</v>
      </c>
      <c r="H6" s="8" t="n">
        <v>151.854354214123</v>
      </c>
      <c r="I6" s="9" t="n">
        <v>0.6141624224320625</v>
      </c>
      <c r="J6" s="7" t="n">
        <v>437</v>
      </c>
      <c r="K6" s="7" t="n">
        <v>413</v>
      </c>
      <c r="L6" s="7" t="n">
        <v>24</v>
      </c>
      <c r="M6" s="9" t="n">
        <v>0.05491990846681922</v>
      </c>
      <c r="N6" s="5" t="n">
        <v>12470.07</v>
      </c>
      <c r="O6" s="10" t="n">
        <v>5.345925203306797</v>
      </c>
      <c r="P6" s="8" t="n">
        <v>30.19387409200969</v>
      </c>
    </row>
    <row r="7">
      <c r="A7" s="13" t="inlineStr">
        <is>
          <t>2025-06</t>
        </is>
      </c>
      <c r="B7" s="7" t="n">
        <v>407</v>
      </c>
      <c r="C7" s="5" t="n">
        <v>67458.61500000001</v>
      </c>
      <c r="D7" s="5" t="n">
        <v>1830.2284</v>
      </c>
      <c r="E7" s="5" t="n">
        <v>4271.3043</v>
      </c>
      <c r="F7" s="5" t="n">
        <v>61357.0823</v>
      </c>
      <c r="G7" s="5" t="n">
        <v>23707.5</v>
      </c>
      <c r="H7" s="8" t="n">
        <v>150.754501965602</v>
      </c>
      <c r="I7" s="9" t="n">
        <v>0.6136142868710039</v>
      </c>
      <c r="J7" s="7" t="n">
        <v>403</v>
      </c>
      <c r="K7" s="7" t="n">
        <v>366</v>
      </c>
      <c r="L7" s="7" t="n">
        <v>37</v>
      </c>
      <c r="M7" s="9" t="n">
        <v>0.09181141439205956</v>
      </c>
      <c r="N7" s="5" t="n">
        <v>11815.23</v>
      </c>
      <c r="O7" s="10" t="n">
        <v>5.193050181841572</v>
      </c>
      <c r="P7" s="8" t="n">
        <v>32.28204918032787</v>
      </c>
    </row>
    <row r="8">
      <c r="A8" s="13" t="inlineStr">
        <is>
          <t>2025-07</t>
        </is>
      </c>
      <c r="B8" s="7" t="n">
        <v>437</v>
      </c>
      <c r="C8" s="5" t="n">
        <v>67490.9286</v>
      </c>
      <c r="D8" s="5" t="n">
        <v>1957.9843</v>
      </c>
      <c r="E8" s="5" t="n">
        <v>3859.1028</v>
      </c>
      <c r="F8" s="5" t="n">
        <v>61673.8415</v>
      </c>
      <c r="G8" s="5" t="n">
        <v>23669.5</v>
      </c>
      <c r="H8" s="8" t="n">
        <v>141.1300720823799</v>
      </c>
      <c r="I8" s="9" t="n">
        <v>0.6162149231453339</v>
      </c>
      <c r="J8" s="7" t="n">
        <v>430</v>
      </c>
      <c r="K8" s="7" t="n">
        <v>360</v>
      </c>
      <c r="L8" s="7" t="n">
        <v>70</v>
      </c>
      <c r="M8" s="9" t="n">
        <v>0.1627906976744186</v>
      </c>
      <c r="N8" s="5" t="n">
        <v>12256.28</v>
      </c>
      <c r="O8" s="10" t="n">
        <v>5.032019625857112</v>
      </c>
      <c r="P8" s="8" t="n">
        <v>34.04522222222222</v>
      </c>
    </row>
    <row r="9">
      <c r="A9" s="13" t="inlineStr">
        <is>
          <t>2025-08</t>
        </is>
      </c>
      <c r="B9" s="7" t="n">
        <v>503</v>
      </c>
      <c r="C9" s="5" t="n">
        <v>76571.8221</v>
      </c>
      <c r="D9" s="5" t="n">
        <v>2600.0407</v>
      </c>
      <c r="E9" s="5" t="n">
        <v>4539.8811</v>
      </c>
      <c r="F9" s="5" t="n">
        <v>69431.90029999999</v>
      </c>
      <c r="G9" s="5" t="n">
        <v>26673.5</v>
      </c>
      <c r="H9" s="8" t="n">
        <v>138.0355870775348</v>
      </c>
      <c r="I9" s="9" t="n">
        <v>0.6158322055892225</v>
      </c>
      <c r="J9" s="7" t="n">
        <v>496</v>
      </c>
      <c r="K9" s="7" t="n">
        <v>405</v>
      </c>
      <c r="L9" s="7" t="n">
        <v>91</v>
      </c>
      <c r="M9" s="9" t="n">
        <v>0.1834677419354839</v>
      </c>
      <c r="N9" s="5" t="n">
        <v>13224.38</v>
      </c>
      <c r="O9" s="10" t="n">
        <v>5.250295310630819</v>
      </c>
      <c r="P9" s="8" t="n">
        <v>32.65279012345679</v>
      </c>
    </row>
    <row r="10">
      <c r="A10" s="13" t="inlineStr">
        <is>
          <t>2025-09</t>
        </is>
      </c>
      <c r="B10" s="7" t="n">
        <v>480</v>
      </c>
      <c r="C10" s="5" t="n">
        <v>78626.951</v>
      </c>
      <c r="D10" s="5" t="n">
        <v>2471.4548</v>
      </c>
      <c r="E10" s="5" t="n">
        <v>7099.615</v>
      </c>
      <c r="F10" s="5" t="n">
        <v>69055.8812</v>
      </c>
      <c r="G10" s="5" t="n">
        <v>27604.5</v>
      </c>
      <c r="H10" s="8" t="n">
        <v>143.8664191666667</v>
      </c>
      <c r="I10" s="9" t="n">
        <v>0.6002585222241723</v>
      </c>
      <c r="J10" s="7" t="n">
        <v>478</v>
      </c>
      <c r="K10" s="7" t="n">
        <v>380</v>
      </c>
      <c r="L10" s="7" t="n">
        <v>98</v>
      </c>
      <c r="M10" s="9" t="n">
        <v>0.2050209205020921</v>
      </c>
      <c r="N10" s="5" t="n">
        <v>13919.6</v>
      </c>
      <c r="O10" s="10" t="n">
        <v>4.961053564757608</v>
      </c>
      <c r="P10" s="8" t="n">
        <v>36.63052631578947</v>
      </c>
    </row>
    <row r="11">
      <c r="A11" s="13" t="inlineStr">
        <is>
          <t>2025-10</t>
        </is>
      </c>
      <c r="B11" s="7" t="n">
        <v>582</v>
      </c>
      <c r="C11" s="5" t="n">
        <v>92770.85060000001</v>
      </c>
      <c r="D11" s="5" t="n">
        <v>2626.813</v>
      </c>
      <c r="E11" s="5" t="n">
        <v>7913.5625</v>
      </c>
      <c r="F11" s="5" t="n">
        <v>82230.4751</v>
      </c>
      <c r="G11" s="5" t="n">
        <v>32551.5</v>
      </c>
      <c r="H11" s="8" t="n">
        <v>141.2894761168385</v>
      </c>
      <c r="I11" s="9" t="n">
        <v>0.6041431116576389</v>
      </c>
      <c r="J11" s="7" t="n">
        <v>573</v>
      </c>
      <c r="K11" s="7" t="n">
        <v>458</v>
      </c>
      <c r="L11" s="7" t="n">
        <v>115</v>
      </c>
      <c r="M11" s="9" t="n">
        <v>0.2006980802792321</v>
      </c>
      <c r="N11" s="5" t="n">
        <v>15885.36</v>
      </c>
      <c r="O11" s="10" t="n">
        <v>5.176494275232037</v>
      </c>
      <c r="P11" s="8" t="n">
        <v>34.68419213973799</v>
      </c>
    </row>
    <row r="12">
      <c r="A12" s="13" t="inlineStr">
        <is>
          <t>2025-11</t>
        </is>
      </c>
      <c r="B12" s="7" t="n">
        <v>929</v>
      </c>
      <c r="C12" s="5" t="n">
        <v>145515.9532</v>
      </c>
      <c r="D12" s="5" t="n">
        <v>14068.5224</v>
      </c>
      <c r="E12" s="5" t="n">
        <v>11201.7493</v>
      </c>
      <c r="F12" s="5" t="n">
        <v>120245.6815</v>
      </c>
      <c r="G12" s="5" t="n">
        <v>51024</v>
      </c>
      <c r="H12" s="8" t="n">
        <v>129.435609795479</v>
      </c>
      <c r="I12" s="9" t="n">
        <v>0.5756687528108858</v>
      </c>
      <c r="J12" s="7" t="n">
        <v>919</v>
      </c>
      <c r="K12" s="7" t="n">
        <v>775</v>
      </c>
      <c r="L12" s="7" t="n">
        <v>144</v>
      </c>
      <c r="M12" s="9" t="n">
        <v>0.1566920565832426</v>
      </c>
      <c r="N12" s="5" t="n">
        <v>28363.54</v>
      </c>
      <c r="O12" s="10" t="n">
        <v>4.239445481769906</v>
      </c>
      <c r="P12" s="8" t="n">
        <v>36.59811612903226</v>
      </c>
    </row>
    <row r="13">
      <c r="A13" s="13" t="inlineStr">
        <is>
          <t>2025-12</t>
        </is>
      </c>
      <c r="B13" s="7" t="n">
        <v>781</v>
      </c>
      <c r="C13" s="5" t="n">
        <v>121857.6385</v>
      </c>
      <c r="D13" s="5" t="n">
        <v>3511.5842</v>
      </c>
      <c r="E13" s="5" t="n">
        <v>7717.434</v>
      </c>
      <c r="F13" s="5" t="n">
        <v>110628.6203</v>
      </c>
      <c r="G13" s="5" t="n">
        <v>42271</v>
      </c>
      <c r="H13" s="8" t="n">
        <v>141.649961971831</v>
      </c>
      <c r="I13" s="9" t="n">
        <v>0.6179017700359045</v>
      </c>
      <c r="J13" s="7" t="n">
        <v>777</v>
      </c>
      <c r="K13" s="7" t="n">
        <v>604</v>
      </c>
      <c r="L13" s="7" t="n">
        <v>173</v>
      </c>
      <c r="M13" s="9" t="n">
        <v>0.2226512226512226</v>
      </c>
      <c r="N13" s="5" t="n">
        <v>22943.19</v>
      </c>
      <c r="O13" s="10" t="n">
        <v>4.821849982500254</v>
      </c>
      <c r="P13" s="8" t="n">
        <v>37.98541390728477</v>
      </c>
    </row>
    <row r="14">
      <c r="A14" s="13" t="inlineStr">
        <is>
          <t>2026-01</t>
        </is>
      </c>
      <c r="B14" s="7" t="n">
        <v>527</v>
      </c>
      <c r="C14" s="5" t="n">
        <v>78965.43950000001</v>
      </c>
      <c r="D14" s="5" t="n">
        <v>2339.4408</v>
      </c>
      <c r="E14" s="5" t="n">
        <v>6669.7672</v>
      </c>
      <c r="F14" s="5" t="n">
        <v>69956.23149999999</v>
      </c>
      <c r="G14" s="5" t="n">
        <v>27638</v>
      </c>
      <c r="H14" s="8" t="n">
        <v>132.7442722960152</v>
      </c>
      <c r="I14" s="9" t="n">
        <v>0.6049244019097855</v>
      </c>
      <c r="J14" s="7" t="n">
        <v>520</v>
      </c>
      <c r="K14" s="7" t="n">
        <v>303</v>
      </c>
      <c r="L14" s="7" t="n">
        <v>217</v>
      </c>
      <c r="M14" s="9" t="n">
        <v>0.4173076923076923</v>
      </c>
      <c r="N14" s="5" t="n">
        <v>13002.51</v>
      </c>
      <c r="O14" s="10" t="n">
        <v>5.380209782572749</v>
      </c>
      <c r="P14" s="8" t="n">
        <v>42.91257425742575</v>
      </c>
    </row>
    <row r="15">
      <c r="A15" s="13" t="inlineStr">
        <is>
          <t>2026-02</t>
        </is>
      </c>
      <c r="B15" s="7" t="n">
        <v>490</v>
      </c>
      <c r="C15" s="5" t="n">
        <v>76223.9656</v>
      </c>
      <c r="D15" s="5" t="n">
        <v>1822.8164</v>
      </c>
      <c r="E15" s="5" t="n">
        <v>5868.8999</v>
      </c>
      <c r="F15" s="5" t="n">
        <v>68532.2493</v>
      </c>
      <c r="G15" s="5" t="n">
        <v>26751.5</v>
      </c>
      <c r="H15" s="8" t="n">
        <v>139.8617332653061</v>
      </c>
      <c r="I15" s="9" t="n">
        <v>0.6096509267790806</v>
      </c>
      <c r="J15" s="7" t="n">
        <v>488</v>
      </c>
      <c r="K15" s="7" t="n">
        <v>313</v>
      </c>
      <c r="L15" s="7" t="n">
        <v>175</v>
      </c>
      <c r="M15" s="9" t="n">
        <v>0.3586065573770492</v>
      </c>
      <c r="N15" s="5" t="n">
        <v>11844.23</v>
      </c>
      <c r="O15" s="10" t="n">
        <v>5.786129558443225</v>
      </c>
      <c r="P15" s="8" t="n">
        <v>37.84099041533546</v>
      </c>
    </row>
    <row r="16">
      <c r="A16" s="13" t="inlineStr">
        <is>
          <t>2026-03</t>
        </is>
      </c>
      <c r="B16" s="7" t="n">
        <v>618</v>
      </c>
      <c r="C16" s="5" t="n">
        <v>96777.7908</v>
      </c>
      <c r="D16" s="5" t="n">
        <v>5088.4458</v>
      </c>
      <c r="E16" s="5" t="n">
        <v>5800.865</v>
      </c>
      <c r="F16" s="5" t="n">
        <v>85888.48</v>
      </c>
      <c r="G16" s="5" t="n">
        <v>33864</v>
      </c>
      <c r="H16" s="8" t="n">
        <v>138.9781229773463</v>
      </c>
      <c r="I16" s="9" t="n">
        <v>0.605721279501046</v>
      </c>
      <c r="J16" s="7" t="n">
        <v>609</v>
      </c>
      <c r="K16" s="7" t="n">
        <v>406</v>
      </c>
      <c r="L16" s="7" t="n">
        <v>203</v>
      </c>
      <c r="M16" s="9" t="n">
        <v>0.3333333333333333</v>
      </c>
      <c r="N16" s="5" t="n">
        <v>15109.67</v>
      </c>
      <c r="O16" s="10" t="n">
        <v>5.684338572582988</v>
      </c>
      <c r="P16" s="8" t="n">
        <v>37.21593596059113</v>
      </c>
    </row>
    <row r="17">
      <c r="A17" s="13" t="inlineStr">
        <is>
          <t>2026-04</t>
        </is>
      </c>
      <c r="B17" s="7" t="n">
        <v>596</v>
      </c>
      <c r="C17" s="5" t="n">
        <v>91781.98420000001</v>
      </c>
      <c r="D17" s="5" t="n">
        <v>4973.6071</v>
      </c>
      <c r="E17" s="5" t="n">
        <v>5149.6079</v>
      </c>
      <c r="F17" s="5" t="n">
        <v>81658.7692</v>
      </c>
      <c r="G17" s="5" t="n">
        <v>32071</v>
      </c>
      <c r="H17" s="8" t="n">
        <v>137.0113577181208</v>
      </c>
      <c r="I17" s="9" t="n">
        <v>0.6072558977535997</v>
      </c>
      <c r="J17" s="7" t="n">
        <v>589</v>
      </c>
      <c r="K17" s="7" t="n">
        <v>388</v>
      </c>
      <c r="L17" s="7" t="n">
        <v>201</v>
      </c>
      <c r="M17" s="9" t="n">
        <v>0.3412563667232598</v>
      </c>
      <c r="N17" s="5" t="n">
        <v>16145.94</v>
      </c>
      <c r="O17" s="10" t="n">
        <v>5.05754197030337</v>
      </c>
      <c r="P17" s="8" t="n">
        <v>41.61324742268042</v>
      </c>
    </row>
    <row r="18">
      <c r="A18" s="13" t="inlineStr">
        <is>
          <t>2026-05</t>
        </is>
      </c>
      <c r="B18" s="7" t="n">
        <v>626</v>
      </c>
      <c r="C18" s="5" t="n">
        <v>96902.40180000001</v>
      </c>
      <c r="D18" s="5" t="n">
        <v>2820.5326</v>
      </c>
      <c r="E18" s="5" t="n">
        <v>5946.1621</v>
      </c>
      <c r="F18" s="5" t="n">
        <v>88135.7071</v>
      </c>
      <c r="G18" s="5" t="n">
        <v>33845.5</v>
      </c>
      <c r="H18" s="8" t="n">
        <v>140.7918643769968</v>
      </c>
      <c r="I18" s="9" t="n">
        <v>0.6159842461852785</v>
      </c>
      <c r="J18" s="7" t="n">
        <v>615</v>
      </c>
      <c r="K18" s="7" t="n">
        <v>427</v>
      </c>
      <c r="L18" s="7" t="n">
        <v>188</v>
      </c>
      <c r="M18" s="9" t="n">
        <v>0.3056910569105691</v>
      </c>
      <c r="N18" s="5" t="n">
        <v>18223.82</v>
      </c>
      <c r="O18" s="10" t="n">
        <v>4.836291573336435</v>
      </c>
      <c r="P18" s="8" t="n">
        <v>42.67873536299766</v>
      </c>
    </row>
    <row r="19">
      <c r="A19" s="13" t="inlineStr">
        <is>
          <t>2026-06</t>
        </is>
      </c>
      <c r="B19" s="7" t="n">
        <v>634</v>
      </c>
      <c r="C19" s="5" t="n">
        <v>98822.2129</v>
      </c>
      <c r="D19" s="5" t="n">
        <v>3132.3741</v>
      </c>
      <c r="E19" s="5" t="n">
        <v>7794.014</v>
      </c>
      <c r="F19" s="5" t="n">
        <v>87895.8248</v>
      </c>
      <c r="G19" s="5" t="n">
        <v>34790.5</v>
      </c>
      <c r="H19" s="8" t="n">
        <v>138.6369476340694</v>
      </c>
      <c r="I19" s="9" t="n">
        <v>0.6041848395055962</v>
      </c>
      <c r="J19" s="7" t="n">
        <v>626</v>
      </c>
      <c r="K19" s="7" t="n">
        <v>434</v>
      </c>
      <c r="L19" s="7" t="n">
        <v>192</v>
      </c>
      <c r="M19" s="9" t="n">
        <v>0.3067092651757188</v>
      </c>
      <c r="N19" s="5" t="n">
        <v>17123.97</v>
      </c>
      <c r="O19" s="10" t="n">
        <v>5.132911632057286</v>
      </c>
      <c r="P19" s="8" t="n">
        <v>39.45615207373272</v>
      </c>
    </row>
    <row r="20">
      <c r="A20" s="13" t="inlineStr">
        <is>
          <t>2026-07</t>
        </is>
      </c>
      <c r="B20" s="7" t="n">
        <v>602</v>
      </c>
      <c r="C20" s="5" t="n">
        <v>90937.00440000001</v>
      </c>
      <c r="D20" s="5" t="n">
        <v>2951.6562</v>
      </c>
      <c r="E20" s="5" t="n">
        <v>6204.0984</v>
      </c>
      <c r="F20" s="5" t="n">
        <v>81781.24980000001</v>
      </c>
      <c r="G20" s="5" t="n">
        <v>32158.5</v>
      </c>
      <c r="H20" s="8" t="n">
        <v>135.8492521594684</v>
      </c>
      <c r="I20" s="9" t="n">
        <v>0.6067741679340293</v>
      </c>
      <c r="J20" s="7" t="n">
        <v>592</v>
      </c>
      <c r="K20" s="7" t="n">
        <v>378</v>
      </c>
      <c r="L20" s="7" t="n">
        <v>214</v>
      </c>
      <c r="M20" s="9" t="n">
        <v>0.3614864864864865</v>
      </c>
      <c r="N20" s="5" t="n">
        <v>17279.04</v>
      </c>
      <c r="O20" s="10" t="n">
        <v>4.732974158286572</v>
      </c>
      <c r="P20" s="8" t="n">
        <v>45.71174603174603</v>
      </c>
    </row>
    <row r="21">
      <c r="A21" s="13" t="inlineStr">
        <is>
          <t>2026-08</t>
        </is>
      </c>
      <c r="B21" s="7" t="n">
        <v>717</v>
      </c>
      <c r="C21" s="5" t="n">
        <v>116905.7537</v>
      </c>
      <c r="D21" s="5" t="n">
        <v>3443.4686</v>
      </c>
      <c r="E21" s="5" t="n">
        <v>9475.1428</v>
      </c>
      <c r="F21" s="5" t="n">
        <v>103987.1423</v>
      </c>
      <c r="G21" s="5" t="n">
        <v>41140.5</v>
      </c>
      <c r="H21" s="8" t="n">
        <v>145.0308818688982</v>
      </c>
      <c r="I21" s="9" t="n">
        <v>0.6043693567295964</v>
      </c>
      <c r="J21" s="7" t="n">
        <v>707</v>
      </c>
      <c r="K21" s="7" t="n">
        <v>483</v>
      </c>
      <c r="L21" s="7" t="n">
        <v>224</v>
      </c>
      <c r="M21" s="9" t="n">
        <v>0.3168316831683168</v>
      </c>
      <c r="N21" s="5" t="n">
        <v>18750.61</v>
      </c>
      <c r="O21" s="10" t="n">
        <v>5.545800499290423</v>
      </c>
      <c r="P21" s="8" t="n">
        <v>38.82113871635611</v>
      </c>
    </row>
    <row r="22">
      <c r="A22" s="13" t="inlineStr">
        <is>
          <t>2026-09</t>
        </is>
      </c>
      <c r="B22" s="7" t="n">
        <v>686</v>
      </c>
      <c r="C22" s="5" t="n">
        <v>105923.5124</v>
      </c>
      <c r="D22" s="5" t="n">
        <v>2971.5359</v>
      </c>
      <c r="E22" s="5" t="n">
        <v>6740.1529</v>
      </c>
      <c r="F22" s="5" t="n">
        <v>96211.8236</v>
      </c>
      <c r="G22" s="5" t="n">
        <v>36996.5</v>
      </c>
      <c r="H22" s="8" t="n">
        <v>140.2504717201166</v>
      </c>
      <c r="I22" s="9" t="n">
        <v>0.6154682593501949</v>
      </c>
      <c r="J22" s="7" t="n">
        <v>675</v>
      </c>
      <c r="K22" s="7" t="n">
        <v>460</v>
      </c>
      <c r="L22" s="7" t="n">
        <v>215</v>
      </c>
      <c r="M22" s="9" t="n">
        <v>0.3185185185185185</v>
      </c>
      <c r="N22" s="5" t="n">
        <v>19613.16</v>
      </c>
      <c r="O22" s="10" t="n">
        <v>4.905472835585902</v>
      </c>
      <c r="P22" s="8" t="n">
        <v>42.63730434782609</v>
      </c>
    </row>
    <row r="23">
      <c r="A23" s="14" t="inlineStr">
        <is>
          <t>Total</t>
        </is>
      </c>
      <c r="B23" s="15">
        <f>SUM(B5:B22)</f>
        <v/>
      </c>
      <c r="C23" s="16">
        <f>SUM(C5:C22)</f>
        <v/>
      </c>
      <c r="D23" s="16">
        <f>SUM(D5:D22)</f>
        <v/>
      </c>
      <c r="E23" s="16">
        <f>SUM(E5:E22)</f>
        <v/>
      </c>
      <c r="F23" s="16">
        <f>SUM(F5:F22)</f>
        <v/>
      </c>
      <c r="G23" s="16">
        <f>SUM(G5:G22)</f>
        <v/>
      </c>
      <c r="K23" s="15">
        <f>SUM(K5:K22)</f>
        <v/>
      </c>
      <c r="N23" s="16">
        <f>SUM(N5:N22)</f>
        <v/>
      </c>
    </row>
    <row r="24">
      <c r="A24" s="2" t="inlineStr">
        <is>
          <t>Total row uses live SUM formulas; AOV / rates are not summable — see Summary KPIs.</t>
        </is>
      </c>
    </row>
  </sheetData>
  <conditionalFormatting sqref="F5:F22">
    <cfRule type="dataBar" priority="1">
      <dataBar>
        <cfvo type="min"/>
        <cfvo type="max"/>
        <color rgb="006DA7E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</cols>
  <sheetData>
    <row r="1">
      <c r="A1" s="1" t="inlineStr">
        <is>
          <t>Customer cohort retention</t>
        </is>
      </c>
    </row>
    <row r="2">
      <c r="A2" s="2" t="inlineStr">
        <is>
          <t>Sample project — synthetic data, not client work. Cohort = month of first order. Cell = % of cohort ordering in month +k. Blank = not yet observable.</t>
        </is>
      </c>
    </row>
    <row r="3">
      <c r="A3" s="11" t="inlineStr">
        <is>
          <t>Retention %</t>
        </is>
      </c>
    </row>
    <row r="4" ht="32" customHeight="1">
      <c r="A4" s="12" t="inlineStr">
        <is>
          <t>Cohort</t>
        </is>
      </c>
      <c r="B4" s="12" t="inlineStr">
        <is>
          <t>Customers</t>
        </is>
      </c>
      <c r="C4" s="12" t="inlineStr">
        <is>
          <t>M0</t>
        </is>
      </c>
      <c r="D4" s="12" t="inlineStr">
        <is>
          <t>M1</t>
        </is>
      </c>
      <c r="E4" s="12" t="inlineStr">
        <is>
          <t>M2</t>
        </is>
      </c>
      <c r="F4" s="12" t="inlineStr">
        <is>
          <t>M3</t>
        </is>
      </c>
      <c r="G4" s="12" t="inlineStr">
        <is>
          <t>M4</t>
        </is>
      </c>
      <c r="H4" s="12" t="inlineStr">
        <is>
          <t>M5</t>
        </is>
      </c>
      <c r="I4" s="12" t="inlineStr">
        <is>
          <t>M6</t>
        </is>
      </c>
      <c r="J4" s="12" t="inlineStr">
        <is>
          <t>M7</t>
        </is>
      </c>
      <c r="K4" s="12" t="inlineStr">
        <is>
          <t>M8</t>
        </is>
      </c>
      <c r="L4" s="12" t="inlineStr">
        <is>
          <t>M9</t>
        </is>
      </c>
      <c r="M4" s="12" t="inlineStr">
        <is>
          <t>M10</t>
        </is>
      </c>
      <c r="N4" s="12" t="inlineStr">
        <is>
          <t>M11</t>
        </is>
      </c>
      <c r="O4" s="12" t="inlineStr">
        <is>
          <t>M12</t>
        </is>
      </c>
      <c r="P4" s="12" t="inlineStr">
        <is>
          <t>M13</t>
        </is>
      </c>
      <c r="Q4" s="12" t="inlineStr">
        <is>
          <t>M14</t>
        </is>
      </c>
      <c r="R4" s="12" t="inlineStr">
        <is>
          <t>M15</t>
        </is>
      </c>
      <c r="S4" s="12" t="inlineStr">
        <is>
          <t>M16</t>
        </is>
      </c>
      <c r="T4" s="12" t="inlineStr">
        <is>
          <t>M17</t>
        </is>
      </c>
    </row>
    <row r="5">
      <c r="A5" s="13" t="inlineStr">
        <is>
          <t>2025-04</t>
        </is>
      </c>
      <c r="B5" s="7" t="n">
        <v>329</v>
      </c>
      <c r="C5" s="9" t="n">
        <v>1</v>
      </c>
      <c r="D5" s="9" t="n">
        <v>0.0729483282674772</v>
      </c>
      <c r="E5" s="9" t="n">
        <v>0.05775075987841945</v>
      </c>
      <c r="F5" s="9" t="n">
        <v>0.0851063829787234</v>
      </c>
      <c r="G5" s="9" t="n">
        <v>0.0547112462006079</v>
      </c>
      <c r="H5" s="9" t="n">
        <v>0.03951367781155015</v>
      </c>
      <c r="I5" s="9" t="n">
        <v>0.0303951367781155</v>
      </c>
      <c r="J5" s="9" t="n">
        <v>0.0425531914893617</v>
      </c>
      <c r="K5" s="9" t="n">
        <v>0.0243161094224924</v>
      </c>
      <c r="L5" s="9" t="n">
        <v>0.0121580547112462</v>
      </c>
      <c r="M5" s="9" t="n">
        <v>0.01519756838905775</v>
      </c>
      <c r="N5" s="9" t="n">
        <v>0.02735562310030395</v>
      </c>
      <c r="O5" s="9" t="n">
        <v>0.0182370820668693</v>
      </c>
      <c r="P5" s="9" t="n">
        <v>0.0060790273556231</v>
      </c>
      <c r="Q5" s="9" t="n">
        <v>0.00911854103343465</v>
      </c>
      <c r="R5" s="9" t="n">
        <v>0.0121580547112462</v>
      </c>
      <c r="S5" s="9" t="n">
        <v>0.00911854103343465</v>
      </c>
      <c r="T5" s="9" t="n">
        <v>0</v>
      </c>
    </row>
    <row r="6">
      <c r="A6" s="13" t="inlineStr">
        <is>
          <t>2025-05</t>
        </is>
      </c>
      <c r="B6" s="7" t="n">
        <v>413</v>
      </c>
      <c r="C6" s="9" t="n">
        <v>1</v>
      </c>
      <c r="D6" s="9" t="n">
        <v>0.04358353510895883</v>
      </c>
      <c r="E6" s="9" t="n">
        <v>0.05811138014527845</v>
      </c>
      <c r="F6" s="9" t="n">
        <v>0.07021791767554479</v>
      </c>
      <c r="G6" s="9" t="n">
        <v>0.04358353510895883</v>
      </c>
      <c r="H6" s="9" t="n">
        <v>0.0387409200968523</v>
      </c>
      <c r="I6" s="9" t="n">
        <v>0.02905569007263923</v>
      </c>
      <c r="J6" s="9" t="n">
        <v>0.03631961259079903</v>
      </c>
      <c r="K6" s="9" t="n">
        <v>0.009685230024213076</v>
      </c>
      <c r="L6" s="9" t="n">
        <v>0.01210653753026634</v>
      </c>
      <c r="M6" s="9" t="n">
        <v>0.01452784503631961</v>
      </c>
      <c r="N6" s="9" t="n">
        <v>0.01694915254237288</v>
      </c>
      <c r="O6" s="9" t="n">
        <v>0.007263922518159807</v>
      </c>
      <c r="P6" s="9" t="n">
        <v>0.007263922518159807</v>
      </c>
      <c r="Q6" s="9" t="n">
        <v>0.01937046004842615</v>
      </c>
      <c r="R6" s="9" t="n">
        <v>0.007263922518159807</v>
      </c>
      <c r="S6" s="9" t="n">
        <v>0.007263922518159807</v>
      </c>
      <c r="T6" s="9" t="n"/>
    </row>
    <row r="7">
      <c r="A7" s="13" t="inlineStr">
        <is>
          <t>2025-06</t>
        </is>
      </c>
      <c r="B7" s="7" t="n">
        <v>366</v>
      </c>
      <c r="C7" s="9" t="n">
        <v>1</v>
      </c>
      <c r="D7" s="9" t="n">
        <v>0.04918032786885246</v>
      </c>
      <c r="E7" s="9" t="n">
        <v>0.06830601092896176</v>
      </c>
      <c r="F7" s="9" t="n">
        <v>0.06830601092896176</v>
      </c>
      <c r="G7" s="9" t="n">
        <v>0.0546448087431694</v>
      </c>
      <c r="H7" s="9" t="n">
        <v>0.04644808743169399</v>
      </c>
      <c r="I7" s="9" t="n">
        <v>0.03825136612021858</v>
      </c>
      <c r="J7" s="9" t="n">
        <v>0.03005464480874317</v>
      </c>
      <c r="K7" s="9" t="n">
        <v>0.00546448087431694</v>
      </c>
      <c r="L7" s="9" t="n">
        <v>0.02185792349726776</v>
      </c>
      <c r="M7" s="9" t="n">
        <v>0.01366120218579235</v>
      </c>
      <c r="N7" s="9" t="n">
        <v>0.01639344262295082</v>
      </c>
      <c r="O7" s="9" t="n">
        <v>0.00819672131147541</v>
      </c>
      <c r="P7" s="9" t="n">
        <v>0.01092896174863388</v>
      </c>
      <c r="Q7" s="9" t="n">
        <v>0.01092896174863388</v>
      </c>
      <c r="R7" s="9" t="n">
        <v>0.00546448087431694</v>
      </c>
      <c r="S7" s="9" t="n"/>
      <c r="T7" s="9" t="n"/>
    </row>
    <row r="8">
      <c r="A8" s="13" t="inlineStr">
        <is>
          <t>2025-07</t>
        </is>
      </c>
      <c r="B8" s="7" t="n">
        <v>360</v>
      </c>
      <c r="C8" s="9" t="n">
        <v>1</v>
      </c>
      <c r="D8" s="9" t="n">
        <v>0.05277777777777778</v>
      </c>
      <c r="E8" s="9" t="n">
        <v>0.06944444444444445</v>
      </c>
      <c r="F8" s="9" t="n">
        <v>0.08055555555555556</v>
      </c>
      <c r="G8" s="9" t="n">
        <v>0.06666666666666667</v>
      </c>
      <c r="H8" s="9" t="n">
        <v>0.06944444444444445</v>
      </c>
      <c r="I8" s="9" t="n">
        <v>0.05</v>
      </c>
      <c r="J8" s="9" t="n">
        <v>0.025</v>
      </c>
      <c r="K8" s="9" t="n">
        <v>0.03611111111111111</v>
      </c>
      <c r="L8" s="9" t="n">
        <v>0.02777777777777778</v>
      </c>
      <c r="M8" s="9" t="n">
        <v>0.01666666666666667</v>
      </c>
      <c r="N8" s="9" t="n">
        <v>0.03055555555555555</v>
      </c>
      <c r="O8" s="9" t="n">
        <v>0.01111111111111111</v>
      </c>
      <c r="P8" s="9" t="n">
        <v>0.01111111111111111</v>
      </c>
      <c r="Q8" s="9" t="n">
        <v>0.008333333333333333</v>
      </c>
      <c r="R8" s="9" t="n"/>
      <c r="S8" s="9" t="n"/>
      <c r="T8" s="9" t="n"/>
    </row>
    <row r="9">
      <c r="A9" s="13" t="inlineStr">
        <is>
          <t>2025-08</t>
        </is>
      </c>
      <c r="B9" s="7" t="n">
        <v>405</v>
      </c>
      <c r="C9" s="9" t="n">
        <v>1</v>
      </c>
      <c r="D9" s="9" t="n">
        <v>0.04197530864197531</v>
      </c>
      <c r="E9" s="9" t="n">
        <v>0.05925925925925926</v>
      </c>
      <c r="F9" s="9" t="n">
        <v>0.05925925925925926</v>
      </c>
      <c r="G9" s="9" t="n">
        <v>0.05925925925925926</v>
      </c>
      <c r="H9" s="9" t="n">
        <v>0.0345679012345679</v>
      </c>
      <c r="I9" s="9" t="n">
        <v>0.03703703703703703</v>
      </c>
      <c r="J9" s="9" t="n">
        <v>0.02222222222222222</v>
      </c>
      <c r="K9" s="9" t="n">
        <v>0.02469135802469136</v>
      </c>
      <c r="L9" s="9" t="n">
        <v>0.02222222222222222</v>
      </c>
      <c r="M9" s="9" t="n">
        <v>0.01481481481481482</v>
      </c>
      <c r="N9" s="9" t="n">
        <v>0.01481481481481482</v>
      </c>
      <c r="O9" s="9" t="n">
        <v>0.004938271604938272</v>
      </c>
      <c r="P9" s="9" t="n">
        <v>0.007407407407407408</v>
      </c>
      <c r="Q9" s="9" t="n"/>
      <c r="R9" s="9" t="n"/>
      <c r="S9" s="9" t="n"/>
      <c r="T9" s="9" t="n"/>
    </row>
    <row r="10">
      <c r="A10" s="13" t="inlineStr">
        <is>
          <t>2025-09</t>
        </is>
      </c>
      <c r="B10" s="7" t="n">
        <v>380</v>
      </c>
      <c r="C10" s="9" t="n">
        <v>1</v>
      </c>
      <c r="D10" s="9" t="n">
        <v>0.04210526315789474</v>
      </c>
      <c r="E10" s="9" t="n">
        <v>0.07105263157894737</v>
      </c>
      <c r="F10" s="9" t="n">
        <v>0.07105263157894737</v>
      </c>
      <c r="G10" s="9" t="n">
        <v>0.06315789473684211</v>
      </c>
      <c r="H10" s="9" t="n">
        <v>0.04210526315789474</v>
      </c>
      <c r="I10" s="9" t="n">
        <v>0.03421052631578948</v>
      </c>
      <c r="J10" s="9" t="n">
        <v>0.02368421052631579</v>
      </c>
      <c r="K10" s="9" t="n">
        <v>0.02368421052631579</v>
      </c>
      <c r="L10" s="9" t="n">
        <v>0.02368421052631579</v>
      </c>
      <c r="M10" s="9" t="n">
        <v>0.02368421052631579</v>
      </c>
      <c r="N10" s="9" t="n">
        <v>0.01578947368421053</v>
      </c>
      <c r="O10" s="9" t="n">
        <v>0.005263157894736842</v>
      </c>
      <c r="P10" s="9" t="n"/>
      <c r="Q10" s="9" t="n"/>
      <c r="R10" s="9" t="n"/>
      <c r="S10" s="9" t="n"/>
      <c r="T10" s="9" t="n"/>
    </row>
    <row r="11">
      <c r="A11" s="13" t="inlineStr">
        <is>
          <t>2025-10</t>
        </is>
      </c>
      <c r="B11" s="7" t="n">
        <v>458</v>
      </c>
      <c r="C11" s="9" t="n">
        <v>1</v>
      </c>
      <c r="D11" s="9" t="n">
        <v>0.05676855895196507</v>
      </c>
      <c r="E11" s="9" t="n">
        <v>0.05240174672489083</v>
      </c>
      <c r="F11" s="9" t="n">
        <v>0.07641921397379912</v>
      </c>
      <c r="G11" s="9" t="n">
        <v>0.05240174672489083</v>
      </c>
      <c r="H11" s="9" t="n">
        <v>0.0611353711790393</v>
      </c>
      <c r="I11" s="9" t="n">
        <v>0.04148471615720524</v>
      </c>
      <c r="J11" s="9" t="n">
        <v>0.03275109170305677</v>
      </c>
      <c r="K11" s="9" t="n">
        <v>0.03056768558951965</v>
      </c>
      <c r="L11" s="9" t="n">
        <v>0.01528384279475982</v>
      </c>
      <c r="M11" s="9" t="n">
        <v>0.01310043668122271</v>
      </c>
      <c r="N11" s="9" t="n">
        <v>0.01310043668122271</v>
      </c>
      <c r="O11" s="9" t="n"/>
      <c r="P11" s="9" t="n"/>
      <c r="Q11" s="9" t="n"/>
      <c r="R11" s="9" t="n"/>
      <c r="S11" s="9" t="n"/>
      <c r="T11" s="9" t="n"/>
    </row>
    <row r="12">
      <c r="A12" s="13" t="inlineStr">
        <is>
          <t>2025-11</t>
        </is>
      </c>
      <c r="B12" s="7" t="n">
        <v>775</v>
      </c>
      <c r="C12" s="9" t="n">
        <v>1</v>
      </c>
      <c r="D12" s="9" t="n">
        <v>0.04645161290322581</v>
      </c>
      <c r="E12" s="9" t="n">
        <v>0.08774193548387096</v>
      </c>
      <c r="F12" s="9" t="n">
        <v>0.05290322580645161</v>
      </c>
      <c r="G12" s="9" t="n">
        <v>0.06064516129032258</v>
      </c>
      <c r="H12" s="9" t="n">
        <v>0.04129032258064516</v>
      </c>
      <c r="I12" s="9" t="n">
        <v>0.03225806451612903</v>
      </c>
      <c r="J12" s="9" t="n">
        <v>0.02709677419354839</v>
      </c>
      <c r="K12" s="9" t="n">
        <v>0.02580645161290323</v>
      </c>
      <c r="L12" s="9" t="n">
        <v>0.0232258064516129</v>
      </c>
      <c r="M12" s="9" t="n">
        <v>0.01548387096774194</v>
      </c>
      <c r="N12" s="9" t="n"/>
      <c r="O12" s="9" t="n"/>
      <c r="P12" s="9" t="n"/>
      <c r="Q12" s="9" t="n"/>
      <c r="R12" s="9" t="n"/>
      <c r="S12" s="9" t="n"/>
      <c r="T12" s="9" t="n"/>
    </row>
    <row r="13">
      <c r="A13" s="13" t="inlineStr">
        <is>
          <t>2025-12</t>
        </is>
      </c>
      <c r="B13" s="7" t="n">
        <v>604</v>
      </c>
      <c r="C13" s="9" t="n">
        <v>1</v>
      </c>
      <c r="D13" s="9" t="n">
        <v>0.06456953642384106</v>
      </c>
      <c r="E13" s="9" t="n">
        <v>0.07781456953642384</v>
      </c>
      <c r="F13" s="9" t="n">
        <v>0.05794701986754967</v>
      </c>
      <c r="G13" s="9" t="n">
        <v>0.06291390728476821</v>
      </c>
      <c r="H13" s="9" t="n">
        <v>0.04304635761589404</v>
      </c>
      <c r="I13" s="9" t="n">
        <v>0.04304635761589404</v>
      </c>
      <c r="J13" s="9" t="n">
        <v>0.03642384105960265</v>
      </c>
      <c r="K13" s="9" t="n">
        <v>0.02980132450331126</v>
      </c>
      <c r="L13" s="9" t="n">
        <v>0.01655629139072848</v>
      </c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13" t="inlineStr">
        <is>
          <t>2026-01</t>
        </is>
      </c>
      <c r="B14" s="7" t="n">
        <v>303</v>
      </c>
      <c r="C14" s="9" t="n">
        <v>1</v>
      </c>
      <c r="D14" s="9" t="n">
        <v>0.03630363036303631</v>
      </c>
      <c r="E14" s="9" t="n">
        <v>0.08250825082508251</v>
      </c>
      <c r="F14" s="9" t="n">
        <v>0.0462046204620462</v>
      </c>
      <c r="G14" s="9" t="n">
        <v>0.0462046204620462</v>
      </c>
      <c r="H14" s="9" t="n">
        <v>0.033003300330033</v>
      </c>
      <c r="I14" s="9" t="n">
        <v>0.0165016501650165</v>
      </c>
      <c r="J14" s="9" t="n">
        <v>0.0297029702970297</v>
      </c>
      <c r="K14" s="9" t="n">
        <v>0.0429042904290429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13" t="inlineStr">
        <is>
          <t>2026-02</t>
        </is>
      </c>
      <c r="B15" s="7" t="n">
        <v>313</v>
      </c>
      <c r="C15" s="9" t="n">
        <v>1</v>
      </c>
      <c r="D15" s="9" t="n">
        <v>0.03194888178913738</v>
      </c>
      <c r="E15" s="9" t="n">
        <v>0.07348242811501597</v>
      </c>
      <c r="F15" s="9" t="n">
        <v>0.0670926517571885</v>
      </c>
      <c r="G15" s="9" t="n">
        <v>0.05431309904153354</v>
      </c>
      <c r="H15" s="9" t="n">
        <v>0.03833865814696485</v>
      </c>
      <c r="I15" s="9" t="n">
        <v>0.03514376996805112</v>
      </c>
      <c r="J15" s="9" t="n">
        <v>0.02875399361022364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13" t="inlineStr">
        <is>
          <t>2026-03</t>
        </is>
      </c>
      <c r="B16" s="7" t="n">
        <v>406</v>
      </c>
      <c r="C16" s="9" t="n">
        <v>1</v>
      </c>
      <c r="D16" s="9" t="n">
        <v>0.06896551724137931</v>
      </c>
      <c r="E16" s="9" t="n">
        <v>0.0812807881773399</v>
      </c>
      <c r="F16" s="9" t="n">
        <v>0.06403940886699508</v>
      </c>
      <c r="G16" s="9" t="n">
        <v>0.0541871921182266</v>
      </c>
      <c r="H16" s="9" t="n">
        <v>0.07389162561576355</v>
      </c>
      <c r="I16" s="9" t="n">
        <v>0.03694581280788178</v>
      </c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13" t="inlineStr">
        <is>
          <t>2026-04</t>
        </is>
      </c>
      <c r="B17" s="7" t="n">
        <v>388</v>
      </c>
      <c r="C17" s="9" t="n">
        <v>1</v>
      </c>
      <c r="D17" s="9" t="n">
        <v>0.04896907216494845</v>
      </c>
      <c r="E17" s="9" t="n">
        <v>0.06185567010309279</v>
      </c>
      <c r="F17" s="9" t="n">
        <v>0.07216494845360824</v>
      </c>
      <c r="G17" s="9" t="n">
        <v>0.05154639175257732</v>
      </c>
      <c r="H17" s="9" t="n">
        <v>0.06443298969072164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13" t="inlineStr">
        <is>
          <t>2026-05</t>
        </is>
      </c>
      <c r="B18" s="7" t="n">
        <v>427</v>
      </c>
      <c r="C18" s="9" t="n">
        <v>1</v>
      </c>
      <c r="D18" s="9" t="n">
        <v>0.04449648711943794</v>
      </c>
      <c r="E18" s="9" t="n">
        <v>0.08196721311475409</v>
      </c>
      <c r="F18" s="9" t="n">
        <v>0.06557377049180328</v>
      </c>
      <c r="G18" s="9" t="n">
        <v>0.04918032786885246</v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13" t="inlineStr">
        <is>
          <t>2026-06</t>
        </is>
      </c>
      <c r="B19" s="7" t="n">
        <v>434</v>
      </c>
      <c r="C19" s="9" t="n">
        <v>1</v>
      </c>
      <c r="D19" s="9" t="n">
        <v>0.06451612903225806</v>
      </c>
      <c r="E19" s="9" t="n">
        <v>0.09216589861751152</v>
      </c>
      <c r="F19" s="9" t="n">
        <v>0.07373271889400922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13" t="inlineStr">
        <is>
          <t>2026-07</t>
        </is>
      </c>
      <c r="B20" s="7" t="n">
        <v>378</v>
      </c>
      <c r="C20" s="9" t="n">
        <v>1</v>
      </c>
      <c r="D20" s="9" t="n">
        <v>0.0582010582010582</v>
      </c>
      <c r="E20" s="9" t="n">
        <v>0.08465608465608465</v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13" t="inlineStr">
        <is>
          <t>2026-08</t>
        </is>
      </c>
      <c r="B21" s="7" t="n">
        <v>483</v>
      </c>
      <c r="C21" s="9" t="n">
        <v>1</v>
      </c>
      <c r="D21" s="9" t="n">
        <v>0.05590062111801242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13" t="inlineStr">
        <is>
          <t>2026-09</t>
        </is>
      </c>
      <c r="B22" s="7" t="n">
        <v>460</v>
      </c>
      <c r="C22" s="9" t="n">
        <v>1</v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4">
      <c r="A24" s="11" t="inlineStr">
        <is>
          <t>Active customers (counts)</t>
        </is>
      </c>
    </row>
    <row r="25" ht="32" customHeight="1">
      <c r="A25" s="12" t="inlineStr">
        <is>
          <t>Cohort</t>
        </is>
      </c>
      <c r="B25" s="12" t="inlineStr">
        <is>
          <t>Customers</t>
        </is>
      </c>
      <c r="C25" s="12" t="inlineStr">
        <is>
          <t>M0</t>
        </is>
      </c>
      <c r="D25" s="12" t="inlineStr">
        <is>
          <t>M1</t>
        </is>
      </c>
      <c r="E25" s="12" t="inlineStr">
        <is>
          <t>M2</t>
        </is>
      </c>
      <c r="F25" s="12" t="inlineStr">
        <is>
          <t>M3</t>
        </is>
      </c>
      <c r="G25" s="12" t="inlineStr">
        <is>
          <t>M4</t>
        </is>
      </c>
      <c r="H25" s="12" t="inlineStr">
        <is>
          <t>M5</t>
        </is>
      </c>
      <c r="I25" s="12" t="inlineStr">
        <is>
          <t>M6</t>
        </is>
      </c>
      <c r="J25" s="12" t="inlineStr">
        <is>
          <t>M7</t>
        </is>
      </c>
      <c r="K25" s="12" t="inlineStr">
        <is>
          <t>M8</t>
        </is>
      </c>
      <c r="L25" s="12" t="inlineStr">
        <is>
          <t>M9</t>
        </is>
      </c>
      <c r="M25" s="12" t="inlineStr">
        <is>
          <t>M10</t>
        </is>
      </c>
      <c r="N25" s="12" t="inlineStr">
        <is>
          <t>M11</t>
        </is>
      </c>
      <c r="O25" s="12" t="inlineStr">
        <is>
          <t>M12</t>
        </is>
      </c>
      <c r="P25" s="12" t="inlineStr">
        <is>
          <t>M13</t>
        </is>
      </c>
      <c r="Q25" s="12" t="inlineStr">
        <is>
          <t>M14</t>
        </is>
      </c>
      <c r="R25" s="12" t="inlineStr">
        <is>
          <t>M15</t>
        </is>
      </c>
      <c r="S25" s="12" t="inlineStr">
        <is>
          <t>M16</t>
        </is>
      </c>
      <c r="T25" s="12" t="inlineStr">
        <is>
          <t>M17</t>
        </is>
      </c>
    </row>
    <row r="26">
      <c r="A26" s="13" t="inlineStr">
        <is>
          <t>2025-04</t>
        </is>
      </c>
      <c r="B26" s="7" t="n">
        <v>329</v>
      </c>
      <c r="C26" s="7" t="n">
        <v>329</v>
      </c>
      <c r="D26" s="7" t="n">
        <v>24</v>
      </c>
      <c r="E26" s="7" t="n">
        <v>19</v>
      </c>
      <c r="F26" s="7" t="n">
        <v>28</v>
      </c>
      <c r="G26" s="7" t="n">
        <v>18</v>
      </c>
      <c r="H26" s="7" t="n">
        <v>13</v>
      </c>
      <c r="I26" s="7" t="n">
        <v>10</v>
      </c>
      <c r="J26" s="7" t="n">
        <v>14</v>
      </c>
      <c r="K26" s="7" t="n">
        <v>8</v>
      </c>
      <c r="L26" s="7" t="n">
        <v>4</v>
      </c>
      <c r="M26" s="7" t="n">
        <v>5</v>
      </c>
      <c r="N26" s="7" t="n">
        <v>9</v>
      </c>
      <c r="O26" s="7" t="n">
        <v>6</v>
      </c>
      <c r="P26" s="7" t="n">
        <v>2</v>
      </c>
      <c r="Q26" s="7" t="n">
        <v>3</v>
      </c>
      <c r="R26" s="7" t="n">
        <v>4</v>
      </c>
      <c r="S26" s="7" t="n">
        <v>3</v>
      </c>
      <c r="T26" s="7" t="n">
        <v>0</v>
      </c>
    </row>
    <row r="27">
      <c r="A27" s="13" t="inlineStr">
        <is>
          <t>2025-05</t>
        </is>
      </c>
      <c r="B27" s="7" t="n">
        <v>413</v>
      </c>
      <c r="C27" s="7" t="n">
        <v>413</v>
      </c>
      <c r="D27" s="7" t="n">
        <v>18</v>
      </c>
      <c r="E27" s="7" t="n">
        <v>24</v>
      </c>
      <c r="F27" s="7" t="n">
        <v>29</v>
      </c>
      <c r="G27" s="7" t="n">
        <v>18</v>
      </c>
      <c r="H27" s="7" t="n">
        <v>16</v>
      </c>
      <c r="I27" s="7" t="n">
        <v>12</v>
      </c>
      <c r="J27" s="7" t="n">
        <v>15</v>
      </c>
      <c r="K27" s="7" t="n">
        <v>4</v>
      </c>
      <c r="L27" s="7" t="n">
        <v>5</v>
      </c>
      <c r="M27" s="7" t="n">
        <v>6</v>
      </c>
      <c r="N27" s="7" t="n">
        <v>7</v>
      </c>
      <c r="O27" s="7" t="n">
        <v>3</v>
      </c>
      <c r="P27" s="7" t="n">
        <v>3</v>
      </c>
      <c r="Q27" s="7" t="n">
        <v>8</v>
      </c>
      <c r="R27" s="7" t="n">
        <v>3</v>
      </c>
      <c r="S27" s="7" t="n">
        <v>3</v>
      </c>
      <c r="T27" s="7" t="n"/>
    </row>
    <row r="28">
      <c r="A28" s="13" t="inlineStr">
        <is>
          <t>2025-06</t>
        </is>
      </c>
      <c r="B28" s="7" t="n">
        <v>366</v>
      </c>
      <c r="C28" s="7" t="n">
        <v>366</v>
      </c>
      <c r="D28" s="7" t="n">
        <v>18</v>
      </c>
      <c r="E28" s="7" t="n">
        <v>25</v>
      </c>
      <c r="F28" s="7" t="n">
        <v>25</v>
      </c>
      <c r="G28" s="7" t="n">
        <v>20</v>
      </c>
      <c r="H28" s="7" t="n">
        <v>17</v>
      </c>
      <c r="I28" s="7" t="n">
        <v>14</v>
      </c>
      <c r="J28" s="7" t="n">
        <v>11</v>
      </c>
      <c r="K28" s="7" t="n">
        <v>2</v>
      </c>
      <c r="L28" s="7" t="n">
        <v>8</v>
      </c>
      <c r="M28" s="7" t="n">
        <v>5</v>
      </c>
      <c r="N28" s="7" t="n">
        <v>6</v>
      </c>
      <c r="O28" s="7" t="n">
        <v>3</v>
      </c>
      <c r="P28" s="7" t="n">
        <v>4</v>
      </c>
      <c r="Q28" s="7" t="n">
        <v>4</v>
      </c>
      <c r="R28" s="7" t="n">
        <v>2</v>
      </c>
      <c r="S28" s="7" t="n"/>
      <c r="T28" s="7" t="n"/>
    </row>
    <row r="29">
      <c r="A29" s="13" t="inlineStr">
        <is>
          <t>2025-07</t>
        </is>
      </c>
      <c r="B29" s="7" t="n">
        <v>360</v>
      </c>
      <c r="C29" s="7" t="n">
        <v>360</v>
      </c>
      <c r="D29" s="7" t="n">
        <v>19</v>
      </c>
      <c r="E29" s="7" t="n">
        <v>25</v>
      </c>
      <c r="F29" s="7" t="n">
        <v>29</v>
      </c>
      <c r="G29" s="7" t="n">
        <v>24</v>
      </c>
      <c r="H29" s="7" t="n">
        <v>25</v>
      </c>
      <c r="I29" s="7" t="n">
        <v>18</v>
      </c>
      <c r="J29" s="7" t="n">
        <v>9</v>
      </c>
      <c r="K29" s="7" t="n">
        <v>13</v>
      </c>
      <c r="L29" s="7" t="n">
        <v>10</v>
      </c>
      <c r="M29" s="7" t="n">
        <v>6</v>
      </c>
      <c r="N29" s="7" t="n">
        <v>11</v>
      </c>
      <c r="O29" s="7" t="n">
        <v>4</v>
      </c>
      <c r="P29" s="7" t="n">
        <v>4</v>
      </c>
      <c r="Q29" s="7" t="n">
        <v>3</v>
      </c>
      <c r="R29" s="7" t="n"/>
      <c r="S29" s="7" t="n"/>
      <c r="T29" s="7" t="n"/>
    </row>
    <row r="30">
      <c r="A30" s="13" t="inlineStr">
        <is>
          <t>2025-08</t>
        </is>
      </c>
      <c r="B30" s="7" t="n">
        <v>405</v>
      </c>
      <c r="C30" s="7" t="n">
        <v>405</v>
      </c>
      <c r="D30" s="7" t="n">
        <v>17</v>
      </c>
      <c r="E30" s="7" t="n">
        <v>24</v>
      </c>
      <c r="F30" s="7" t="n">
        <v>24</v>
      </c>
      <c r="G30" s="7" t="n">
        <v>24</v>
      </c>
      <c r="H30" s="7" t="n">
        <v>14</v>
      </c>
      <c r="I30" s="7" t="n">
        <v>15</v>
      </c>
      <c r="J30" s="7" t="n">
        <v>9</v>
      </c>
      <c r="K30" s="7" t="n">
        <v>10</v>
      </c>
      <c r="L30" s="7" t="n">
        <v>9</v>
      </c>
      <c r="M30" s="7" t="n">
        <v>6</v>
      </c>
      <c r="N30" s="7" t="n">
        <v>6</v>
      </c>
      <c r="O30" s="7" t="n">
        <v>2</v>
      </c>
      <c r="P30" s="7" t="n">
        <v>3</v>
      </c>
      <c r="Q30" s="7" t="n"/>
      <c r="R30" s="7" t="n"/>
      <c r="S30" s="7" t="n"/>
      <c r="T30" s="7" t="n"/>
    </row>
    <row r="31">
      <c r="A31" s="13" t="inlineStr">
        <is>
          <t>2025-09</t>
        </is>
      </c>
      <c r="B31" s="7" t="n">
        <v>380</v>
      </c>
      <c r="C31" s="7" t="n">
        <v>380</v>
      </c>
      <c r="D31" s="7" t="n">
        <v>16</v>
      </c>
      <c r="E31" s="7" t="n">
        <v>27</v>
      </c>
      <c r="F31" s="7" t="n">
        <v>27</v>
      </c>
      <c r="G31" s="7" t="n">
        <v>24</v>
      </c>
      <c r="H31" s="7" t="n">
        <v>16</v>
      </c>
      <c r="I31" s="7" t="n">
        <v>13</v>
      </c>
      <c r="J31" s="7" t="n">
        <v>9</v>
      </c>
      <c r="K31" s="7" t="n">
        <v>9</v>
      </c>
      <c r="L31" s="7" t="n">
        <v>9</v>
      </c>
      <c r="M31" s="7" t="n">
        <v>9</v>
      </c>
      <c r="N31" s="7" t="n">
        <v>6</v>
      </c>
      <c r="O31" s="7" t="n">
        <v>2</v>
      </c>
      <c r="P31" s="7" t="n"/>
      <c r="Q31" s="7" t="n"/>
      <c r="R31" s="7" t="n"/>
      <c r="S31" s="7" t="n"/>
      <c r="T31" s="7" t="n"/>
    </row>
    <row r="32">
      <c r="A32" s="13" t="inlineStr">
        <is>
          <t>2025-10</t>
        </is>
      </c>
      <c r="B32" s="7" t="n">
        <v>458</v>
      </c>
      <c r="C32" s="7" t="n">
        <v>458</v>
      </c>
      <c r="D32" s="7" t="n">
        <v>26</v>
      </c>
      <c r="E32" s="7" t="n">
        <v>24</v>
      </c>
      <c r="F32" s="7" t="n">
        <v>35</v>
      </c>
      <c r="G32" s="7" t="n">
        <v>24</v>
      </c>
      <c r="H32" s="7" t="n">
        <v>28</v>
      </c>
      <c r="I32" s="7" t="n">
        <v>19</v>
      </c>
      <c r="J32" s="7" t="n">
        <v>15</v>
      </c>
      <c r="K32" s="7" t="n">
        <v>14</v>
      </c>
      <c r="L32" s="7" t="n">
        <v>7</v>
      </c>
      <c r="M32" s="7" t="n">
        <v>6</v>
      </c>
      <c r="N32" s="7" t="n">
        <v>6</v>
      </c>
      <c r="O32" s="7" t="n"/>
      <c r="P32" s="7" t="n"/>
      <c r="Q32" s="7" t="n"/>
      <c r="R32" s="7" t="n"/>
      <c r="S32" s="7" t="n"/>
      <c r="T32" s="7" t="n"/>
    </row>
    <row r="33">
      <c r="A33" s="13" t="inlineStr">
        <is>
          <t>2025-11</t>
        </is>
      </c>
      <c r="B33" s="7" t="n">
        <v>775</v>
      </c>
      <c r="C33" s="7" t="n">
        <v>775</v>
      </c>
      <c r="D33" s="7" t="n">
        <v>36</v>
      </c>
      <c r="E33" s="7" t="n">
        <v>68</v>
      </c>
      <c r="F33" s="7" t="n">
        <v>41</v>
      </c>
      <c r="G33" s="7" t="n">
        <v>47</v>
      </c>
      <c r="H33" s="7" t="n">
        <v>32</v>
      </c>
      <c r="I33" s="7" t="n">
        <v>25</v>
      </c>
      <c r="J33" s="7" t="n">
        <v>21</v>
      </c>
      <c r="K33" s="7" t="n">
        <v>20</v>
      </c>
      <c r="L33" s="7" t="n">
        <v>18</v>
      </c>
      <c r="M33" s="7" t="n">
        <v>12</v>
      </c>
      <c r="N33" s="7" t="n"/>
      <c r="O33" s="7" t="n"/>
      <c r="P33" s="7" t="n"/>
      <c r="Q33" s="7" t="n"/>
      <c r="R33" s="7" t="n"/>
      <c r="S33" s="7" t="n"/>
      <c r="T33" s="7" t="n"/>
    </row>
    <row r="34">
      <c r="A34" s="13" t="inlineStr">
        <is>
          <t>2025-12</t>
        </is>
      </c>
      <c r="B34" s="7" t="n">
        <v>604</v>
      </c>
      <c r="C34" s="7" t="n">
        <v>604</v>
      </c>
      <c r="D34" s="7" t="n">
        <v>39</v>
      </c>
      <c r="E34" s="7" t="n">
        <v>47</v>
      </c>
      <c r="F34" s="7" t="n">
        <v>35</v>
      </c>
      <c r="G34" s="7" t="n">
        <v>38</v>
      </c>
      <c r="H34" s="7" t="n">
        <v>26</v>
      </c>
      <c r="I34" s="7" t="n">
        <v>26</v>
      </c>
      <c r="J34" s="7" t="n">
        <v>22</v>
      </c>
      <c r="K34" s="7" t="n">
        <v>18</v>
      </c>
      <c r="L34" s="7" t="n">
        <v>10</v>
      </c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13" t="inlineStr">
        <is>
          <t>2026-01</t>
        </is>
      </c>
      <c r="B35" s="7" t="n">
        <v>303</v>
      </c>
      <c r="C35" s="7" t="n">
        <v>303</v>
      </c>
      <c r="D35" s="7" t="n">
        <v>11</v>
      </c>
      <c r="E35" s="7" t="n">
        <v>25</v>
      </c>
      <c r="F35" s="7" t="n">
        <v>14</v>
      </c>
      <c r="G35" s="7" t="n">
        <v>14</v>
      </c>
      <c r="H35" s="7" t="n">
        <v>10</v>
      </c>
      <c r="I35" s="7" t="n">
        <v>5</v>
      </c>
      <c r="J35" s="7" t="n">
        <v>9</v>
      </c>
      <c r="K35" s="7" t="n">
        <v>13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A36" s="13" t="inlineStr">
        <is>
          <t>2026-02</t>
        </is>
      </c>
      <c r="B36" s="7" t="n">
        <v>313</v>
      </c>
      <c r="C36" s="7" t="n">
        <v>313</v>
      </c>
      <c r="D36" s="7" t="n">
        <v>10</v>
      </c>
      <c r="E36" s="7" t="n">
        <v>23</v>
      </c>
      <c r="F36" s="7" t="n">
        <v>21</v>
      </c>
      <c r="G36" s="7" t="n">
        <v>17</v>
      </c>
      <c r="H36" s="7" t="n">
        <v>12</v>
      </c>
      <c r="I36" s="7" t="n">
        <v>11</v>
      </c>
      <c r="J36" s="7" t="n">
        <v>9</v>
      </c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13" t="inlineStr">
        <is>
          <t>2026-03</t>
        </is>
      </c>
      <c r="B37" s="7" t="n">
        <v>406</v>
      </c>
      <c r="C37" s="7" t="n">
        <v>406</v>
      </c>
      <c r="D37" s="7" t="n">
        <v>28</v>
      </c>
      <c r="E37" s="7" t="n">
        <v>33</v>
      </c>
      <c r="F37" s="7" t="n">
        <v>26</v>
      </c>
      <c r="G37" s="7" t="n">
        <v>22</v>
      </c>
      <c r="H37" s="7" t="n">
        <v>30</v>
      </c>
      <c r="I37" s="7" t="n">
        <v>15</v>
      </c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>
      <c r="A38" s="13" t="inlineStr">
        <is>
          <t>2026-04</t>
        </is>
      </c>
      <c r="B38" s="7" t="n">
        <v>388</v>
      </c>
      <c r="C38" s="7" t="n">
        <v>388</v>
      </c>
      <c r="D38" s="7" t="n">
        <v>19</v>
      </c>
      <c r="E38" s="7" t="n">
        <v>24</v>
      </c>
      <c r="F38" s="7" t="n">
        <v>28</v>
      </c>
      <c r="G38" s="7" t="n">
        <v>20</v>
      </c>
      <c r="H38" s="7" t="n">
        <v>25</v>
      </c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>
      <c r="A39" s="13" t="inlineStr">
        <is>
          <t>2026-05</t>
        </is>
      </c>
      <c r="B39" s="7" t="n">
        <v>427</v>
      </c>
      <c r="C39" s="7" t="n">
        <v>427</v>
      </c>
      <c r="D39" s="7" t="n">
        <v>19</v>
      </c>
      <c r="E39" s="7" t="n">
        <v>35</v>
      </c>
      <c r="F39" s="7" t="n">
        <v>28</v>
      </c>
      <c r="G39" s="7" t="n">
        <v>21</v>
      </c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>
      <c r="A40" s="13" t="inlineStr">
        <is>
          <t>2026-06</t>
        </is>
      </c>
      <c r="B40" s="7" t="n">
        <v>434</v>
      </c>
      <c r="C40" s="7" t="n">
        <v>434</v>
      </c>
      <c r="D40" s="7" t="n">
        <v>28</v>
      </c>
      <c r="E40" s="7" t="n">
        <v>40</v>
      </c>
      <c r="F40" s="7" t="n">
        <v>32</v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>
      <c r="A41" s="13" t="inlineStr">
        <is>
          <t>2026-07</t>
        </is>
      </c>
      <c r="B41" s="7" t="n">
        <v>378</v>
      </c>
      <c r="C41" s="7" t="n">
        <v>378</v>
      </c>
      <c r="D41" s="7" t="n">
        <v>22</v>
      </c>
      <c r="E41" s="7" t="n">
        <v>32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>
      <c r="A42" s="13" t="inlineStr">
        <is>
          <t>2026-08</t>
        </is>
      </c>
      <c r="B42" s="7" t="n">
        <v>483</v>
      </c>
      <c r="C42" s="7" t="n">
        <v>483</v>
      </c>
      <c r="D42" s="7" t="n">
        <v>27</v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>
      <c r="A43" s="13" t="inlineStr">
        <is>
          <t>2026-09</t>
        </is>
      </c>
      <c r="B43" s="7" t="n">
        <v>460</v>
      </c>
      <c r="C43" s="7" t="n">
        <v>460</v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>
      <c r="A44" s="14" t="inlineStr">
        <is>
          <t>Total</t>
        </is>
      </c>
      <c r="B44" s="15">
        <f>SUM(B26:B43)</f>
        <v/>
      </c>
    </row>
    <row r="45">
      <c r="A45" s="2" t="inlineStr">
        <is>
          <t>Cohort sizes sum to the total number of identified customers (checked in verify.py).</t>
        </is>
      </c>
    </row>
  </sheetData>
  <conditionalFormatting sqref="D5:T22">
    <cfRule type="colorScale" priority="1">
      <colorScale>
        <cfvo type="num" val="0"/>
        <cfvo type="percentile" val="50"/>
        <cfvo type="max"/>
        <color rgb="00FFFFFF"/>
        <color rgb="009EC5F4"/>
        <color rgb="001C5CA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Channel performance</t>
        </is>
      </c>
    </row>
    <row r="2">
      <c r="A2" s="2" t="inlineStr">
        <is>
          <t>Sample project — synthetic data, not client work. Last-click attribution from Shopify source. ROAS = net revenue ÷ spend; CAC = spend ÷ new customers.</t>
        </is>
      </c>
    </row>
    <row r="4" ht="32" customHeight="1">
      <c r="A4" s="12" t="inlineStr">
        <is>
          <t>Channel</t>
        </is>
      </c>
      <c r="B4" s="12" t="inlineStr">
        <is>
          <t>Orders</t>
        </is>
      </c>
      <c r="C4" s="12" t="inlineStr">
        <is>
          <t>Net Revenue</t>
        </is>
      </c>
      <c r="D4" s="12" t="inlineStr">
        <is>
          <t>New Customers</t>
        </is>
      </c>
      <c r="E4" s="12" t="inlineStr">
        <is>
          <t>Ad Spend</t>
        </is>
      </c>
      <c r="F4" s="12" t="inlineStr">
        <is>
          <t>ROAS</t>
        </is>
      </c>
      <c r="G4" s="12" t="inlineStr">
        <is>
          <t>CAC</t>
        </is>
      </c>
      <c r="H4" s="12" t="inlineStr">
        <is>
          <t>Share Of Revenue</t>
        </is>
      </c>
    </row>
    <row r="5">
      <c r="A5" s="13" t="inlineStr">
        <is>
          <t>meta</t>
        </is>
      </c>
      <c r="B5" s="7" t="n">
        <v>3094</v>
      </c>
      <c r="C5" s="5" t="n">
        <v>435179.0237</v>
      </c>
      <c r="D5" s="7" t="n">
        <v>2782</v>
      </c>
      <c r="E5" s="5" t="n">
        <v>184406.6</v>
      </c>
      <c r="F5" s="10" t="n">
        <v>2.359888548999873</v>
      </c>
      <c r="G5" s="8" t="n">
        <v>66.28562185478073</v>
      </c>
      <c r="H5" s="9" t="n">
        <v>0.2996405922770349</v>
      </c>
    </row>
    <row r="6">
      <c r="A6" s="13" t="inlineStr">
        <is>
          <t>google</t>
        </is>
      </c>
      <c r="B6" s="7" t="n">
        <v>2133</v>
      </c>
      <c r="C6" s="5" t="n">
        <v>296357.2627</v>
      </c>
      <c r="D6" s="7" t="n">
        <v>1872</v>
      </c>
      <c r="E6" s="5" t="n">
        <v>104200.62</v>
      </c>
      <c r="F6" s="10" t="n">
        <v>2.844102680962935</v>
      </c>
      <c r="G6" s="8" t="n">
        <v>55.66272435897436</v>
      </c>
      <c r="H6" s="9" t="n">
        <v>0.2040554826517683</v>
      </c>
    </row>
    <row r="7">
      <c r="A7" s="13" t="inlineStr">
        <is>
          <t>email</t>
        </is>
      </c>
      <c r="B7" s="7" t="n">
        <v>1331</v>
      </c>
      <c r="C7" s="5" t="n">
        <v>178784.7716</v>
      </c>
      <c r="D7" s="7" t="n">
        <v>290</v>
      </c>
      <c r="E7" s="5" t="n">
        <v>0</v>
      </c>
      <c r="F7" s="10" t="n"/>
      <c r="G7" s="8" t="n"/>
      <c r="H7" s="9" t="n">
        <v>0.1231014638455296</v>
      </c>
    </row>
    <row r="8">
      <c r="A8" s="13" t="inlineStr">
        <is>
          <t>organic</t>
        </is>
      </c>
      <c r="B8" s="7" t="n">
        <v>1982</v>
      </c>
      <c r="C8" s="5" t="n">
        <v>281089.5071</v>
      </c>
      <c r="D8" s="7" t="n">
        <v>1513</v>
      </c>
      <c r="E8" s="5" t="n">
        <v>0</v>
      </c>
      <c r="F8" s="10" t="n"/>
      <c r="G8" s="8" t="n"/>
      <c r="H8" s="9" t="n">
        <v>0.193542937051963</v>
      </c>
    </row>
    <row r="9">
      <c r="A9" s="13" t="inlineStr">
        <is>
          <t>direct</t>
        </is>
      </c>
      <c r="B9" s="7" t="n">
        <v>1636</v>
      </c>
      <c r="C9" s="5" t="n">
        <v>227795.4013</v>
      </c>
      <c r="D9" s="7" t="n">
        <v>1015</v>
      </c>
      <c r="E9" s="5" t="n">
        <v>0</v>
      </c>
      <c r="F9" s="10" t="n"/>
      <c r="G9" s="8" t="n"/>
      <c r="H9" s="9" t="n">
        <v>0.156847516185824</v>
      </c>
    </row>
    <row r="10">
      <c r="A10" s="13" t="inlineStr">
        <is>
          <t>referral</t>
        </is>
      </c>
      <c r="B10" s="7" t="n">
        <v>210</v>
      </c>
      <c r="C10" s="5" t="n">
        <v>33130.716</v>
      </c>
      <c r="D10" s="7" t="n">
        <v>210</v>
      </c>
      <c r="E10" s="5" t="n">
        <v>0</v>
      </c>
      <c r="F10" s="10" t="n"/>
      <c r="G10" s="8" t="n"/>
      <c r="H10" s="9" t="n">
        <v>0.02281200798788004</v>
      </c>
    </row>
    <row r="12">
      <c r="A12" s="11" t="inlineStr">
        <is>
          <t>Paid channels by month</t>
        </is>
      </c>
    </row>
    <row r="13" ht="32" customHeight="1">
      <c r="A13" s="12" t="inlineStr">
        <is>
          <t>Month</t>
        </is>
      </c>
      <c r="B13" s="12" t="inlineStr">
        <is>
          <t>Channel</t>
        </is>
      </c>
      <c r="C13" s="12" t="inlineStr">
        <is>
          <t>Ad Spend</t>
        </is>
      </c>
      <c r="D13" s="12" t="inlineStr">
        <is>
          <t>Net Revenue</t>
        </is>
      </c>
      <c r="E13" s="12" t="inlineStr">
        <is>
          <t>ROAS</t>
        </is>
      </c>
      <c r="F13" s="12" t="inlineStr">
        <is>
          <t>New Customers</t>
        </is>
      </c>
      <c r="G13" s="12" t="inlineStr">
        <is>
          <t>CAC</t>
        </is>
      </c>
    </row>
    <row r="14">
      <c r="A14" s="13" t="inlineStr">
        <is>
          <t>2025-04</t>
        </is>
      </c>
      <c r="B14" s="13" t="inlineStr">
        <is>
          <t>meta</t>
        </is>
      </c>
      <c r="C14" s="5" t="n">
        <v>6194.47</v>
      </c>
      <c r="D14" s="5" t="n">
        <v>18560.707</v>
      </c>
      <c r="E14" s="10" t="n">
        <v>2.996334956824393</v>
      </c>
      <c r="F14" s="7" t="n">
        <v>131</v>
      </c>
      <c r="G14" s="8" t="n">
        <v>47.28603053435115</v>
      </c>
    </row>
    <row r="15">
      <c r="A15" s="13" t="inlineStr">
        <is>
          <t>2025-05</t>
        </is>
      </c>
      <c r="B15" s="13" t="inlineStr">
        <is>
          <t>meta</t>
        </is>
      </c>
      <c r="C15" s="5" t="n">
        <v>7452.6</v>
      </c>
      <c r="D15" s="5" t="n">
        <v>25276.0162</v>
      </c>
      <c r="E15" s="10" t="n">
        <v>3.391570217105439</v>
      </c>
      <c r="F15" s="7" t="n">
        <v>152</v>
      </c>
      <c r="G15" s="8" t="n">
        <v>49.03026315789474</v>
      </c>
    </row>
    <row r="16">
      <c r="A16" s="13" t="inlineStr">
        <is>
          <t>2025-06</t>
        </is>
      </c>
      <c r="B16" s="13" t="inlineStr">
        <is>
          <t>meta</t>
        </is>
      </c>
      <c r="C16" s="5" t="n">
        <v>7063.59</v>
      </c>
      <c r="D16" s="5" t="n">
        <v>23468.8333</v>
      </c>
      <c r="E16" s="10" t="n">
        <v>3.322507860733706</v>
      </c>
      <c r="F16" s="7" t="n">
        <v>148</v>
      </c>
      <c r="G16" s="8" t="n">
        <v>47.72695945945946</v>
      </c>
    </row>
    <row r="17">
      <c r="A17" s="13" t="inlineStr">
        <is>
          <t>2025-07</t>
        </is>
      </c>
      <c r="B17" s="13" t="inlineStr">
        <is>
          <t>meta</t>
        </is>
      </c>
      <c r="C17" s="5" t="n">
        <v>7550.11</v>
      </c>
      <c r="D17" s="5" t="n">
        <v>18940.6027</v>
      </c>
      <c r="E17" s="10" t="n">
        <v>2.508652549433055</v>
      </c>
      <c r="F17" s="7" t="n">
        <v>133</v>
      </c>
      <c r="G17" s="8" t="n">
        <v>56.76774436090226</v>
      </c>
    </row>
    <row r="18">
      <c r="A18" s="13" t="inlineStr">
        <is>
          <t>2025-08</t>
        </is>
      </c>
      <c r="B18" s="13" t="inlineStr">
        <is>
          <t>meta</t>
        </is>
      </c>
      <c r="C18" s="5" t="n">
        <v>8177.17</v>
      </c>
      <c r="D18" s="5" t="n">
        <v>25945.9535</v>
      </c>
      <c r="E18" s="10" t="n">
        <v>3.172974696624872</v>
      </c>
      <c r="F18" s="7" t="n">
        <v>158</v>
      </c>
      <c r="G18" s="8" t="n">
        <v>51.75424050632911</v>
      </c>
    </row>
    <row r="19">
      <c r="A19" s="13" t="inlineStr">
        <is>
          <t>2025-09</t>
        </is>
      </c>
      <c r="B19" s="13" t="inlineStr">
        <is>
          <t>meta</t>
        </is>
      </c>
      <c r="C19" s="5" t="n">
        <v>8717.76</v>
      </c>
      <c r="D19" s="5" t="n">
        <v>21315.9041</v>
      </c>
      <c r="E19" s="10" t="n">
        <v>2.445112517435672</v>
      </c>
      <c r="F19" s="7" t="n">
        <v>137</v>
      </c>
      <c r="G19" s="8" t="n">
        <v>63.63328467153285</v>
      </c>
    </row>
    <row r="20">
      <c r="A20" s="13" t="inlineStr">
        <is>
          <t>2025-10</t>
        </is>
      </c>
      <c r="B20" s="13" t="inlineStr">
        <is>
          <t>meta</t>
        </is>
      </c>
      <c r="C20" s="5" t="n">
        <v>10008.83</v>
      </c>
      <c r="D20" s="5" t="n">
        <v>26434.1348</v>
      </c>
      <c r="E20" s="10" t="n">
        <v>2.64108140511928</v>
      </c>
      <c r="F20" s="7" t="n">
        <v>178</v>
      </c>
      <c r="G20" s="8" t="n">
        <v>56.22938202247191</v>
      </c>
    </row>
    <row r="21">
      <c r="A21" s="13" t="inlineStr">
        <is>
          <t>2025-11</t>
        </is>
      </c>
      <c r="B21" s="13" t="inlineStr">
        <is>
          <t>meta</t>
        </is>
      </c>
      <c r="C21" s="5" t="n">
        <v>18089.63</v>
      </c>
      <c r="D21" s="5" t="n">
        <v>36769.0189</v>
      </c>
      <c r="E21" s="10" t="n">
        <v>2.032602043270094</v>
      </c>
      <c r="F21" s="7" t="n">
        <v>245</v>
      </c>
      <c r="G21" s="8" t="n">
        <v>73.83522448979592</v>
      </c>
    </row>
    <row r="22">
      <c r="A22" s="13" t="inlineStr">
        <is>
          <t>2025-12</t>
        </is>
      </c>
      <c r="B22" s="13" t="inlineStr">
        <is>
          <t>meta</t>
        </is>
      </c>
      <c r="C22" s="5" t="n">
        <v>14655.33</v>
      </c>
      <c r="D22" s="5" t="n">
        <v>30834.4363</v>
      </c>
      <c r="E22" s="10" t="n">
        <v>2.103974205971479</v>
      </c>
      <c r="F22" s="7" t="n">
        <v>212</v>
      </c>
      <c r="G22" s="8" t="n">
        <v>69.12891509433962</v>
      </c>
    </row>
    <row r="23">
      <c r="A23" s="13" t="inlineStr">
        <is>
          <t>2026-01</t>
        </is>
      </c>
      <c r="B23" s="13" t="inlineStr">
        <is>
          <t>meta</t>
        </is>
      </c>
      <c r="C23" s="5" t="n">
        <v>8320.719999999999</v>
      </c>
      <c r="D23" s="5" t="n">
        <v>18963.8259</v>
      </c>
      <c r="E23" s="10" t="n">
        <v>2.279108767029776</v>
      </c>
      <c r="F23" s="7" t="n">
        <v>114</v>
      </c>
      <c r="G23" s="8" t="n">
        <v>72.98877192982455</v>
      </c>
    </row>
    <row r="24">
      <c r="A24" s="13" t="inlineStr">
        <is>
          <t>2026-02</t>
        </is>
      </c>
      <c r="B24" s="13" t="inlineStr">
        <is>
          <t>meta</t>
        </is>
      </c>
      <c r="C24" s="5" t="n">
        <v>7671.19</v>
      </c>
      <c r="D24" s="5" t="n">
        <v>19658.1974</v>
      </c>
      <c r="E24" s="10" t="n">
        <v>2.562600769893589</v>
      </c>
      <c r="F24" s="7" t="n">
        <v>118</v>
      </c>
      <c r="G24" s="8" t="n">
        <v>65.01008474576271</v>
      </c>
    </row>
    <row r="25">
      <c r="A25" s="13" t="inlineStr">
        <is>
          <t>2026-03</t>
        </is>
      </c>
      <c r="B25" s="13" t="inlineStr">
        <is>
          <t>meta</t>
        </is>
      </c>
      <c r="C25" s="5" t="n">
        <v>9654.309999999999</v>
      </c>
      <c r="D25" s="5" t="n">
        <v>26052.2582</v>
      </c>
      <c r="E25" s="10" t="n">
        <v>2.698510634110568</v>
      </c>
      <c r="F25" s="7" t="n">
        <v>151</v>
      </c>
      <c r="G25" s="8" t="n">
        <v>63.93582781456954</v>
      </c>
    </row>
    <row r="26">
      <c r="A26" s="13" t="inlineStr">
        <is>
          <t>2026-04</t>
        </is>
      </c>
      <c r="B26" s="13" t="inlineStr">
        <is>
          <t>meta</t>
        </is>
      </c>
      <c r="C26" s="5" t="n">
        <v>10462.25</v>
      </c>
      <c r="D26" s="5" t="n">
        <v>20634.0537</v>
      </c>
      <c r="E26" s="10" t="n">
        <v>1.972238638916103</v>
      </c>
      <c r="F26" s="7" t="n">
        <v>138</v>
      </c>
      <c r="G26" s="8" t="n">
        <v>75.81340579710145</v>
      </c>
    </row>
    <row r="27">
      <c r="A27" s="13" t="inlineStr">
        <is>
          <t>2026-05</t>
        </is>
      </c>
      <c r="B27" s="13" t="inlineStr">
        <is>
          <t>meta</t>
        </is>
      </c>
      <c r="C27" s="5" t="n">
        <v>11882.13</v>
      </c>
      <c r="D27" s="5" t="n">
        <v>24412.6637</v>
      </c>
      <c r="E27" s="10" t="n">
        <v>2.054569652074165</v>
      </c>
      <c r="F27" s="7" t="n">
        <v>155</v>
      </c>
      <c r="G27" s="8" t="n">
        <v>76.65890322580644</v>
      </c>
    </row>
    <row r="28">
      <c r="A28" s="13" t="inlineStr">
        <is>
          <t>2026-06</t>
        </is>
      </c>
      <c r="B28" s="13" t="inlineStr">
        <is>
          <t>meta</t>
        </is>
      </c>
      <c r="C28" s="5" t="n">
        <v>11384.29</v>
      </c>
      <c r="D28" s="5" t="n">
        <v>24243.596</v>
      </c>
      <c r="E28" s="10" t="n">
        <v>2.129565919350263</v>
      </c>
      <c r="F28" s="7" t="n">
        <v>154</v>
      </c>
      <c r="G28" s="8" t="n">
        <v>73.92396103896104</v>
      </c>
    </row>
    <row r="29">
      <c r="A29" s="13" t="inlineStr">
        <is>
          <t>2026-07</t>
        </is>
      </c>
      <c r="B29" s="13" t="inlineStr">
        <is>
          <t>meta</t>
        </is>
      </c>
      <c r="C29" s="5" t="n">
        <v>11533.46</v>
      </c>
      <c r="D29" s="5" t="n">
        <v>21469.6619</v>
      </c>
      <c r="E29" s="10" t="n">
        <v>1.861510934272976</v>
      </c>
      <c r="F29" s="7" t="n">
        <v>134</v>
      </c>
      <c r="G29" s="8" t="n">
        <v>86.07059701492538</v>
      </c>
    </row>
    <row r="30">
      <c r="A30" s="13" t="inlineStr">
        <is>
          <t>2026-08</t>
        </is>
      </c>
      <c r="B30" s="13" t="inlineStr">
        <is>
          <t>meta</t>
        </is>
      </c>
      <c r="C30" s="5" t="n">
        <v>12491.21</v>
      </c>
      <c r="D30" s="5" t="n">
        <v>27510.8362</v>
      </c>
      <c r="E30" s="10" t="n">
        <v>2.202415634674303</v>
      </c>
      <c r="F30" s="7" t="n">
        <v>153</v>
      </c>
      <c r="G30" s="8" t="n">
        <v>81.64189542483659</v>
      </c>
    </row>
    <row r="31">
      <c r="A31" s="13" t="inlineStr">
        <is>
          <t>2026-09</t>
        </is>
      </c>
      <c r="B31" s="13" t="inlineStr">
        <is>
          <t>meta</t>
        </is>
      </c>
      <c r="C31" s="5" t="n">
        <v>13097.55</v>
      </c>
      <c r="D31" s="5" t="n">
        <v>24688.3239</v>
      </c>
      <c r="E31" s="10" t="n">
        <v>1.884957408064867</v>
      </c>
      <c r="F31" s="7" t="n">
        <v>171</v>
      </c>
      <c r="G31" s="8" t="n">
        <v>76.59385964912281</v>
      </c>
    </row>
    <row r="32">
      <c r="A32" s="13" t="inlineStr">
        <is>
          <t>2025-04</t>
        </is>
      </c>
      <c r="B32" s="13" t="inlineStr">
        <is>
          <t>google</t>
        </is>
      </c>
      <c r="C32" s="5" t="n">
        <v>4442.15</v>
      </c>
      <c r="D32" s="5" t="n">
        <v>12030.5313</v>
      </c>
      <c r="E32" s="10" t="n">
        <v>2.708267685692739</v>
      </c>
      <c r="F32" s="7" t="n">
        <v>83</v>
      </c>
      <c r="G32" s="8" t="n">
        <v>53.51987951807229</v>
      </c>
    </row>
    <row r="33">
      <c r="A33" s="13" t="inlineStr">
        <is>
          <t>2025-05</t>
        </is>
      </c>
      <c r="B33" s="13" t="inlineStr">
        <is>
          <t>google</t>
        </is>
      </c>
      <c r="C33" s="5" t="n">
        <v>5017.47</v>
      </c>
      <c r="D33" s="5" t="n">
        <v>14183.6037</v>
      </c>
      <c r="E33" s="10" t="n">
        <v>2.826843747944681</v>
      </c>
      <c r="F33" s="7" t="n">
        <v>90</v>
      </c>
      <c r="G33" s="8" t="n">
        <v>55.74966666666667</v>
      </c>
    </row>
    <row r="34">
      <c r="A34" s="13" t="inlineStr">
        <is>
          <t>2025-06</t>
        </is>
      </c>
      <c r="B34" s="13" t="inlineStr">
        <is>
          <t>google</t>
        </is>
      </c>
      <c r="C34" s="5" t="n">
        <v>4751.64</v>
      </c>
      <c r="D34" s="5" t="n">
        <v>12628.4691</v>
      </c>
      <c r="E34" s="10" t="n">
        <v>2.657707465212011</v>
      </c>
      <c r="F34" s="7" t="n">
        <v>82</v>
      </c>
      <c r="G34" s="8" t="n">
        <v>57.94682926829269</v>
      </c>
    </row>
    <row r="35">
      <c r="A35" s="13" t="inlineStr">
        <is>
          <t>2025-07</t>
        </is>
      </c>
      <c r="B35" s="13" t="inlineStr">
        <is>
          <t>google</t>
        </is>
      </c>
      <c r="C35" s="5" t="n">
        <v>4706.17</v>
      </c>
      <c r="D35" s="5" t="n">
        <v>12559.9872</v>
      </c>
      <c r="E35" s="10" t="n">
        <v>2.668834147512733</v>
      </c>
      <c r="F35" s="7" t="n">
        <v>80</v>
      </c>
      <c r="G35" s="8" t="n">
        <v>58.827125</v>
      </c>
    </row>
    <row r="36">
      <c r="A36" s="13" t="inlineStr">
        <is>
          <t>2025-08</t>
        </is>
      </c>
      <c r="B36" s="13" t="inlineStr">
        <is>
          <t>google</t>
        </is>
      </c>
      <c r="C36" s="5" t="n">
        <v>5047.21</v>
      </c>
      <c r="D36" s="5" t="n">
        <v>14603.4296</v>
      </c>
      <c r="E36" s="10" t="n">
        <v>2.893366751135776</v>
      </c>
      <c r="F36" s="7" t="n">
        <v>91</v>
      </c>
      <c r="G36" s="8" t="n">
        <v>55.46384615384616</v>
      </c>
    </row>
    <row r="37">
      <c r="A37" s="13" t="inlineStr">
        <is>
          <t>2025-09</t>
        </is>
      </c>
      <c r="B37" s="13" t="inlineStr">
        <is>
          <t>google</t>
        </is>
      </c>
      <c r="C37" s="5" t="n">
        <v>5201.84</v>
      </c>
      <c r="D37" s="5" t="n">
        <v>13605.1748</v>
      </c>
      <c r="E37" s="10" t="n">
        <v>2.615454300785876</v>
      </c>
      <c r="F37" s="7" t="n">
        <v>81</v>
      </c>
      <c r="G37" s="8" t="n">
        <v>64.22024691358025</v>
      </c>
    </row>
    <row r="38">
      <c r="A38" s="13" t="inlineStr">
        <is>
          <t>2025-10</t>
        </is>
      </c>
      <c r="B38" s="13" t="inlineStr">
        <is>
          <t>google</t>
        </is>
      </c>
      <c r="C38" s="5" t="n">
        <v>5876.53</v>
      </c>
      <c r="D38" s="5" t="n">
        <v>15379.1847</v>
      </c>
      <c r="E38" s="10" t="n">
        <v>2.617052018793404</v>
      </c>
      <c r="F38" s="7" t="n">
        <v>105</v>
      </c>
      <c r="G38" s="8" t="n">
        <v>55.96695238095238</v>
      </c>
    </row>
    <row r="39">
      <c r="A39" s="13" t="inlineStr">
        <is>
          <t>2025-11</t>
        </is>
      </c>
      <c r="B39" s="13" t="inlineStr">
        <is>
          <t>google</t>
        </is>
      </c>
      <c r="C39" s="5" t="n">
        <v>10273.91</v>
      </c>
      <c r="D39" s="5" t="n">
        <v>28377.6944</v>
      </c>
      <c r="E39" s="10" t="n">
        <v>2.762112418738338</v>
      </c>
      <c r="F39" s="7" t="n">
        <v>218</v>
      </c>
      <c r="G39" s="8" t="n">
        <v>47.12802752293578</v>
      </c>
    </row>
    <row r="40">
      <c r="A40" s="13" t="inlineStr">
        <is>
          <t>2025-12</t>
        </is>
      </c>
      <c r="B40" s="13" t="inlineStr">
        <is>
          <t>google</t>
        </is>
      </c>
      <c r="C40" s="5" t="n">
        <v>8287.860000000001</v>
      </c>
      <c r="D40" s="5" t="n">
        <v>20706.1724</v>
      </c>
      <c r="E40" s="10" t="n">
        <v>2.498373814229487</v>
      </c>
      <c r="F40" s="7" t="n">
        <v>130</v>
      </c>
      <c r="G40" s="8" t="n">
        <v>63.75276923076923</v>
      </c>
    </row>
    <row r="41">
      <c r="A41" s="13" t="inlineStr">
        <is>
          <t>2026-01</t>
        </is>
      </c>
      <c r="B41" s="13" t="inlineStr">
        <is>
          <t>google</t>
        </is>
      </c>
      <c r="C41" s="5" t="n">
        <v>4681.79</v>
      </c>
      <c r="D41" s="5" t="n">
        <v>13655.1925</v>
      </c>
      <c r="E41" s="10" t="n">
        <v>2.916660614850303</v>
      </c>
      <c r="F41" s="7" t="n">
        <v>73</v>
      </c>
      <c r="G41" s="8" t="n">
        <v>64.13410958904109</v>
      </c>
    </row>
    <row r="42">
      <c r="A42" s="13" t="inlineStr">
        <is>
          <t>2026-02</t>
        </is>
      </c>
      <c r="B42" s="13" t="inlineStr">
        <is>
          <t>google</t>
        </is>
      </c>
      <c r="C42" s="5" t="n">
        <v>4173.04</v>
      </c>
      <c r="D42" s="5" t="n">
        <v>10489.7591</v>
      </c>
      <c r="E42" s="10" t="n">
        <v>2.513697232712842</v>
      </c>
      <c r="F42" s="7" t="n">
        <v>72</v>
      </c>
      <c r="G42" s="8" t="n">
        <v>57.95888888888889</v>
      </c>
    </row>
    <row r="43">
      <c r="A43" s="13" t="inlineStr">
        <is>
          <t>2026-03</t>
        </is>
      </c>
      <c r="B43" s="13" t="inlineStr">
        <is>
          <t>google</t>
        </is>
      </c>
      <c r="C43" s="5" t="n">
        <v>5455.36</v>
      </c>
      <c r="D43" s="5" t="n">
        <v>16770.402</v>
      </c>
      <c r="E43" s="10" t="n">
        <v>3.074114632214922</v>
      </c>
      <c r="F43" s="7" t="n">
        <v>107</v>
      </c>
      <c r="G43" s="8" t="n">
        <v>50.98467289719626</v>
      </c>
    </row>
    <row r="44">
      <c r="A44" s="13" t="inlineStr">
        <is>
          <t>2026-04</t>
        </is>
      </c>
      <c r="B44" s="13" t="inlineStr">
        <is>
          <t>google</t>
        </is>
      </c>
      <c r="C44" s="5" t="n">
        <v>5683.69</v>
      </c>
      <c r="D44" s="5" t="n">
        <v>16146.2105</v>
      </c>
      <c r="E44" s="10" t="n">
        <v>2.840797175778412</v>
      </c>
      <c r="F44" s="7" t="n">
        <v>88</v>
      </c>
      <c r="G44" s="8" t="n">
        <v>64.58738636363636</v>
      </c>
    </row>
    <row r="45">
      <c r="A45" s="13" t="inlineStr">
        <is>
          <t>2026-05</t>
        </is>
      </c>
      <c r="B45" s="13" t="inlineStr">
        <is>
          <t>google</t>
        </is>
      </c>
      <c r="C45" s="5" t="n">
        <v>6341.69</v>
      </c>
      <c r="D45" s="5" t="n">
        <v>18887.0008</v>
      </c>
      <c r="E45" s="10" t="n">
        <v>2.978228327149388</v>
      </c>
      <c r="F45" s="7" t="n">
        <v>119</v>
      </c>
      <c r="G45" s="8" t="n">
        <v>53.29151260504202</v>
      </c>
    </row>
    <row r="46">
      <c r="A46" s="13" t="inlineStr">
        <is>
          <t>2026-06</t>
        </is>
      </c>
      <c r="B46" s="13" t="inlineStr">
        <is>
          <t>google</t>
        </is>
      </c>
      <c r="C46" s="5" t="n">
        <v>5739.68</v>
      </c>
      <c r="D46" s="5" t="n">
        <v>14718.5383</v>
      </c>
      <c r="E46" s="10" t="n">
        <v>2.564348238926212</v>
      </c>
      <c r="F46" s="7" t="n">
        <v>96</v>
      </c>
      <c r="G46" s="8" t="n">
        <v>59.78833333333333</v>
      </c>
    </row>
    <row r="47">
      <c r="A47" s="13" t="inlineStr">
        <is>
          <t>2026-07</t>
        </is>
      </c>
      <c r="B47" s="13" t="inlineStr">
        <is>
          <t>google</t>
        </is>
      </c>
      <c r="C47" s="5" t="n">
        <v>5745.58</v>
      </c>
      <c r="D47" s="5" t="n">
        <v>15176.5891</v>
      </c>
      <c r="E47" s="10" t="n">
        <v>2.641437261338281</v>
      </c>
      <c r="F47" s="7" t="n">
        <v>89</v>
      </c>
      <c r="G47" s="8" t="n">
        <v>64.55707865168539</v>
      </c>
    </row>
    <row r="48">
      <c r="A48" s="13" t="inlineStr">
        <is>
          <t>2026-08</t>
        </is>
      </c>
      <c r="B48" s="13" t="inlineStr">
        <is>
          <t>google</t>
        </is>
      </c>
      <c r="C48" s="5" t="n">
        <v>6259.4</v>
      </c>
      <c r="D48" s="5" t="n">
        <v>24933.931</v>
      </c>
      <c r="E48" s="10" t="n">
        <v>3.983437869444356</v>
      </c>
      <c r="F48" s="7" t="n">
        <v>141</v>
      </c>
      <c r="G48" s="8" t="n">
        <v>44.39290780141844</v>
      </c>
    </row>
    <row r="49">
      <c r="A49" s="13" t="inlineStr">
        <is>
          <t>2026-09</t>
        </is>
      </c>
      <c r="B49" s="13" t="inlineStr">
        <is>
          <t>google</t>
        </is>
      </c>
      <c r="C49" s="5" t="n">
        <v>6515.61</v>
      </c>
      <c r="D49" s="5" t="n">
        <v>21505.3922</v>
      </c>
      <c r="E49" s="10" t="n">
        <v>3.300595370195576</v>
      </c>
      <c r="F49" s="7" t="n">
        <v>127</v>
      </c>
      <c r="G49" s="8" t="n">
        <v>51.3040157480315</v>
      </c>
    </row>
  </sheetData>
  <conditionalFormatting sqref="E14:E49">
    <cfRule type="colorScale" priority="1">
      <colorScale>
        <cfvo type="min"/>
        <cfvo type="percentile" val="50"/>
        <cfvo type="max"/>
        <color rgb="00F8D3C3"/>
        <color rgb="00FFFFFF"/>
        <color rgb="009EC5F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Product performance</t>
        </is>
      </c>
    </row>
    <row r="2">
      <c r="A2" s="2" t="inlineStr">
        <is>
          <t>Sample project — synthetic data, not client work. Ranked by net revenue. COGS assumes refunded units are not restocked.</t>
        </is>
      </c>
    </row>
    <row r="4" ht="32" customHeight="1">
      <c r="A4" s="12" t="inlineStr">
        <is>
          <t>Rank</t>
        </is>
      </c>
      <c r="B4" s="12" t="inlineStr">
        <is>
          <t>SKU</t>
        </is>
      </c>
      <c r="C4" s="12" t="inlineStr">
        <is>
          <t>Product Title</t>
        </is>
      </c>
      <c r="D4" s="12" t="inlineStr">
        <is>
          <t>Category</t>
        </is>
      </c>
      <c r="E4" s="12" t="inlineStr">
        <is>
          <t>Orders</t>
        </is>
      </c>
      <c r="F4" s="12" t="inlineStr">
        <is>
          <t>Units</t>
        </is>
      </c>
      <c r="G4" s="12" t="inlineStr">
        <is>
          <t>Gross Sales</t>
        </is>
      </c>
      <c r="H4" s="12" t="inlineStr">
        <is>
          <t>Discounts</t>
        </is>
      </c>
      <c r="I4" s="12" t="inlineStr">
        <is>
          <t>Refunds</t>
        </is>
      </c>
      <c r="J4" s="12" t="inlineStr">
        <is>
          <t>Net Revenue</t>
        </is>
      </c>
      <c r="K4" s="12" t="inlineStr">
        <is>
          <t>COGS</t>
        </is>
      </c>
      <c r="L4" s="12" t="inlineStr">
        <is>
          <t>Refund Rate</t>
        </is>
      </c>
      <c r="M4" s="12" t="inlineStr">
        <is>
          <t>Gross Profit</t>
        </is>
      </c>
      <c r="N4" s="12" t="inlineStr">
        <is>
          <t>Gross Margin %</t>
        </is>
      </c>
    </row>
    <row r="5">
      <c r="A5" s="13" t="n">
        <v>1</v>
      </c>
      <c r="B5" s="13" t="inlineStr">
        <is>
          <t>BED-002</t>
        </is>
      </c>
      <c r="C5" s="13" t="inlineStr">
        <is>
          <t>Percale Sheet Set - Queen</t>
        </is>
      </c>
      <c r="D5" s="13" t="inlineStr">
        <is>
          <t>Bedding</t>
        </is>
      </c>
      <c r="E5" s="7" t="n">
        <v>965</v>
      </c>
      <c r="F5" s="7" t="n">
        <v>1137</v>
      </c>
      <c r="G5" s="5" t="n">
        <v>146788.1899</v>
      </c>
      <c r="H5" s="5" t="n">
        <v>5454.6524</v>
      </c>
      <c r="I5" s="5" t="n">
        <v>9286.3048</v>
      </c>
      <c r="J5" s="5" t="n">
        <v>132047.2327</v>
      </c>
      <c r="K5" s="5" t="n">
        <v>46617</v>
      </c>
      <c r="L5" s="9" t="n">
        <v>0.06570489187677765</v>
      </c>
      <c r="M5" s="5" t="n">
        <v>85430.23269999999</v>
      </c>
      <c r="N5" s="9" t="n">
        <v>0.6469672325060395</v>
      </c>
    </row>
    <row r="6">
      <c r="A6" s="13" t="n">
        <v>2</v>
      </c>
      <c r="B6" s="13" t="inlineStr">
        <is>
          <t>BED-001</t>
        </is>
      </c>
      <c r="C6" s="13" t="inlineStr">
        <is>
          <t>Linen Duvet Cover - Queen</t>
        </is>
      </c>
      <c r="D6" s="13" t="inlineStr">
        <is>
          <t>Bedding</t>
        </is>
      </c>
      <c r="E6" s="7" t="n">
        <v>646</v>
      </c>
      <c r="F6" s="7" t="n">
        <v>750</v>
      </c>
      <c r="G6" s="5" t="n">
        <v>141812.2189</v>
      </c>
      <c r="H6" s="5" t="n">
        <v>5558.9757</v>
      </c>
      <c r="I6" s="5" t="n">
        <v>25874.8232</v>
      </c>
      <c r="J6" s="5" t="n">
        <v>110378.42</v>
      </c>
      <c r="K6" s="5" t="n">
        <v>51000</v>
      </c>
      <c r="L6" s="9" t="n">
        <v>0.1899024389608071</v>
      </c>
      <c r="M6" s="5" t="n">
        <v>59378.42</v>
      </c>
      <c r="N6" s="9" t="n">
        <v>0.5379531614966041</v>
      </c>
    </row>
    <row r="7">
      <c r="A7" s="13" t="n">
        <v>3</v>
      </c>
      <c r="B7" s="13" t="inlineStr">
        <is>
          <t>BAT-001</t>
        </is>
      </c>
      <c r="C7" s="13" t="inlineStr">
        <is>
          <t>Turkish Cotton Towel Set</t>
        </is>
      </c>
      <c r="D7" s="13" t="inlineStr">
        <is>
          <t>Bath</t>
        </is>
      </c>
      <c r="E7" s="7" t="n">
        <v>1020</v>
      </c>
      <c r="F7" s="7" t="n">
        <v>1179</v>
      </c>
      <c r="G7" s="5" t="n">
        <v>105042.8983</v>
      </c>
      <c r="H7" s="5" t="n">
        <v>3982.4322</v>
      </c>
      <c r="I7" s="5" t="n">
        <v>4501.726</v>
      </c>
      <c r="J7" s="5" t="n">
        <v>96558.7401</v>
      </c>
      <c r="K7" s="5" t="n">
        <v>33012</v>
      </c>
      <c r="L7" s="9" t="n">
        <v>0.04454487668348484</v>
      </c>
      <c r="M7" s="5" t="n">
        <v>63546.7401</v>
      </c>
      <c r="N7" s="9" t="n">
        <v>0.6581148431948108</v>
      </c>
    </row>
    <row r="8">
      <c r="A8" s="13" t="n">
        <v>4</v>
      </c>
      <c r="B8" s="13" t="inlineStr">
        <is>
          <t>BED-003</t>
        </is>
      </c>
      <c r="C8" s="13" t="inlineStr">
        <is>
          <t>Percale Sheet Set - King</t>
        </is>
      </c>
      <c r="D8" s="13" t="inlineStr">
        <is>
          <t>Bedding</t>
        </is>
      </c>
      <c r="E8" s="7" t="n">
        <v>569</v>
      </c>
      <c r="F8" s="7" t="n">
        <v>668</v>
      </c>
      <c r="G8" s="5" t="n">
        <v>99587.9172</v>
      </c>
      <c r="H8" s="5" t="n">
        <v>3987.9944</v>
      </c>
      <c r="I8" s="5" t="n">
        <v>5195.5083</v>
      </c>
      <c r="J8" s="5" t="n">
        <v>90404.4145</v>
      </c>
      <c r="K8" s="5" t="n">
        <v>32064</v>
      </c>
      <c r="L8" s="9" t="n">
        <v>0.0543463650161023</v>
      </c>
      <c r="M8" s="5" t="n">
        <v>58340.4145</v>
      </c>
      <c r="N8" s="9" t="n">
        <v>0.6453270542446796</v>
      </c>
    </row>
    <row r="9">
      <c r="A9" s="13" t="n">
        <v>5</v>
      </c>
      <c r="B9" s="13" t="inlineStr">
        <is>
          <t>BED-004</t>
        </is>
      </c>
      <c r="C9" s="13" t="inlineStr">
        <is>
          <t>Waffle Knit Blanket</t>
        </is>
      </c>
      <c r="D9" s="13" t="inlineStr">
        <is>
          <t>Bedding</t>
        </is>
      </c>
      <c r="E9" s="7" t="n">
        <v>658</v>
      </c>
      <c r="F9" s="7" t="n">
        <v>764</v>
      </c>
      <c r="G9" s="5" t="n">
        <v>90975.6715</v>
      </c>
      <c r="H9" s="5" t="n">
        <v>3346.4273</v>
      </c>
      <c r="I9" s="5" t="n">
        <v>4805.5392</v>
      </c>
      <c r="J9" s="5" t="n">
        <v>82823.705</v>
      </c>
      <c r="K9" s="5" t="n">
        <v>29796</v>
      </c>
      <c r="L9" s="9" t="n">
        <v>0.05483944593921307</v>
      </c>
      <c r="M9" s="5" t="n">
        <v>53027.705</v>
      </c>
      <c r="N9" s="9" t="n">
        <v>0.6402479217755351</v>
      </c>
    </row>
    <row r="10">
      <c r="A10" s="13" t="n">
        <v>6</v>
      </c>
      <c r="B10" s="13" t="inlineStr">
        <is>
          <t>BED-005</t>
        </is>
      </c>
      <c r="C10" s="13" t="inlineStr">
        <is>
          <t>Down-Alt Pillow (2)</t>
        </is>
      </c>
      <c r="D10" s="13" t="inlineStr">
        <is>
          <t>Bedding</t>
        </is>
      </c>
      <c r="E10" s="7" t="n">
        <v>763</v>
      </c>
      <c r="F10" s="7" t="n">
        <v>885</v>
      </c>
      <c r="G10" s="5" t="n">
        <v>69986.3974</v>
      </c>
      <c r="H10" s="5" t="n">
        <v>2949.3116</v>
      </c>
      <c r="I10" s="5" t="n">
        <v>4116.488</v>
      </c>
      <c r="J10" s="5" t="n">
        <v>62920.5978</v>
      </c>
      <c r="K10" s="5" t="n">
        <v>23010</v>
      </c>
      <c r="L10" s="9" t="n">
        <v>0.0614061299186129</v>
      </c>
      <c r="M10" s="5" t="n">
        <v>39910.5978</v>
      </c>
      <c r="N10" s="9" t="n">
        <v>0.6343009951504307</v>
      </c>
    </row>
    <row r="11">
      <c r="A11" s="13" t="n">
        <v>7</v>
      </c>
      <c r="B11" s="13" t="inlineStr">
        <is>
          <t>LGT-001</t>
        </is>
      </c>
      <c r="C11" s="13" t="inlineStr">
        <is>
          <t>Ceramic Table Lamp</t>
        </is>
      </c>
      <c r="D11" s="13" t="inlineStr">
        <is>
          <t>Lighting</t>
        </is>
      </c>
      <c r="E11" s="7" t="n">
        <v>394</v>
      </c>
      <c r="F11" s="7" t="n">
        <v>457</v>
      </c>
      <c r="G11" s="5" t="n">
        <v>63554.9209</v>
      </c>
      <c r="H11" s="5" t="n">
        <v>2322.7257</v>
      </c>
      <c r="I11" s="5" t="n">
        <v>3580.7502</v>
      </c>
      <c r="J11" s="5" t="n">
        <v>57651.445</v>
      </c>
      <c r="K11" s="5" t="n">
        <v>23764</v>
      </c>
      <c r="L11" s="9" t="n">
        <v>0.05847822682666128</v>
      </c>
      <c r="M11" s="5" t="n">
        <v>33887.445</v>
      </c>
      <c r="N11" s="9" t="n">
        <v>0.5877987099889691</v>
      </c>
    </row>
    <row r="12">
      <c r="A12" s="13" t="n">
        <v>8</v>
      </c>
      <c r="B12" s="13" t="inlineStr">
        <is>
          <t>KIT-001</t>
        </is>
      </c>
      <c r="C12" s="13" t="inlineStr">
        <is>
          <t>Stoneware Dinner Plate Set (4)</t>
        </is>
      </c>
      <c r="D12" s="13" t="inlineStr">
        <is>
          <t>Kitchen</t>
        </is>
      </c>
      <c r="E12" s="7" t="n">
        <v>846</v>
      </c>
      <c r="F12" s="7" t="n">
        <v>974</v>
      </c>
      <c r="G12" s="5" t="n">
        <v>62415.7683</v>
      </c>
      <c r="H12" s="5" t="n">
        <v>2828.8844</v>
      </c>
      <c r="I12" s="5" t="n">
        <v>2103.3752</v>
      </c>
      <c r="J12" s="5" t="n">
        <v>57483.5087</v>
      </c>
      <c r="K12" s="5" t="n">
        <v>21428</v>
      </c>
      <c r="L12" s="9" t="n">
        <v>0.03529929847531429</v>
      </c>
      <c r="M12" s="5" t="n">
        <v>36055.5087</v>
      </c>
      <c r="N12" s="9" t="n">
        <v>0.6272322186902276</v>
      </c>
    </row>
    <row r="13">
      <c r="A13" s="13" t="n">
        <v>9</v>
      </c>
      <c r="B13" s="13" t="inlineStr">
        <is>
          <t>DEC-007</t>
        </is>
      </c>
      <c r="C13" s="13" t="inlineStr">
        <is>
          <t>Jute Area Rug 5x8</t>
        </is>
      </c>
      <c r="D13" s="13" t="inlineStr">
        <is>
          <t>Decor</t>
        </is>
      </c>
      <c r="E13" s="7" t="n">
        <v>228</v>
      </c>
      <c r="F13" s="7" t="n">
        <v>265</v>
      </c>
      <c r="G13" s="5" t="n">
        <v>66001.0662</v>
      </c>
      <c r="H13" s="5" t="n">
        <v>2478.4623</v>
      </c>
      <c r="I13" s="5" t="n">
        <v>7657.0588</v>
      </c>
      <c r="J13" s="5" t="n">
        <v>55865.5451</v>
      </c>
      <c r="K13" s="5" t="n">
        <v>31270</v>
      </c>
      <c r="L13" s="9" t="n">
        <v>0.1205406946486965</v>
      </c>
      <c r="M13" s="5" t="n">
        <v>24595.5451</v>
      </c>
      <c r="N13" s="9" t="n">
        <v>0.4402632258572556</v>
      </c>
    </row>
    <row r="14">
      <c r="A14" s="13" t="n">
        <v>10</v>
      </c>
      <c r="B14" s="13" t="inlineStr">
        <is>
          <t>BED-007</t>
        </is>
      </c>
      <c r="C14" s="13" t="inlineStr">
        <is>
          <t>Weighted Throw 15lb</t>
        </is>
      </c>
      <c r="D14" s="13" t="inlineStr">
        <is>
          <t>Bedding</t>
        </is>
      </c>
      <c r="E14" s="7" t="n">
        <v>327</v>
      </c>
      <c r="F14" s="7" t="n">
        <v>382</v>
      </c>
      <c r="G14" s="5" t="n">
        <v>60769.525</v>
      </c>
      <c r="H14" s="5" t="n">
        <v>2059.8258</v>
      </c>
      <c r="I14" s="5" t="n">
        <v>7127.5464</v>
      </c>
      <c r="J14" s="5" t="n">
        <v>51582.1528</v>
      </c>
      <c r="K14" s="5" t="n">
        <v>27122</v>
      </c>
      <c r="L14" s="9" t="n">
        <v>0.1214032178178831</v>
      </c>
      <c r="M14" s="5" t="n">
        <v>24460.1528</v>
      </c>
      <c r="N14" s="9" t="n">
        <v>0.4741979826790013</v>
      </c>
    </row>
    <row r="15">
      <c r="A15" s="13" t="n">
        <v>11</v>
      </c>
      <c r="B15" s="13" t="inlineStr">
        <is>
          <t>BAT-002</t>
        </is>
      </c>
      <c r="C15" s="13" t="inlineStr">
        <is>
          <t>Waffle Bath Robe</t>
        </is>
      </c>
      <c r="D15" s="13" t="inlineStr">
        <is>
          <t>Bath</t>
        </is>
      </c>
      <c r="E15" s="7" t="n">
        <v>490</v>
      </c>
      <c r="F15" s="7" t="n">
        <v>572</v>
      </c>
      <c r="G15" s="5" t="n">
        <v>56108.478</v>
      </c>
      <c r="H15" s="5" t="n">
        <v>2040.9908</v>
      </c>
      <c r="I15" s="5" t="n">
        <v>4880.2583</v>
      </c>
      <c r="J15" s="5" t="n">
        <v>49187.2289</v>
      </c>
      <c r="K15" s="5" t="n">
        <v>20592</v>
      </c>
      <c r="L15" s="9" t="n">
        <v>0.09026234716526645</v>
      </c>
      <c r="M15" s="5" t="n">
        <v>28595.2289</v>
      </c>
      <c r="N15" s="9" t="n">
        <v>0.5813547447069132</v>
      </c>
    </row>
    <row r="16">
      <c r="A16" s="13" t="n">
        <v>12</v>
      </c>
      <c r="B16" s="13" t="inlineStr">
        <is>
          <t>DEC-003</t>
        </is>
      </c>
      <c r="C16" s="13" t="inlineStr">
        <is>
          <t>Soy Candle - Cedar</t>
        </is>
      </c>
      <c r="D16" s="13" t="inlineStr">
        <is>
          <t>Decor</t>
        </is>
      </c>
      <c r="E16" s="7" t="n">
        <v>1227</v>
      </c>
      <c r="F16" s="7" t="n">
        <v>1441</v>
      </c>
      <c r="G16" s="5" t="n">
        <v>46251.1286</v>
      </c>
      <c r="H16" s="5" t="n">
        <v>1779.4911</v>
      </c>
      <c r="I16" s="5" t="n">
        <v>1430.9751</v>
      </c>
      <c r="J16" s="5" t="n">
        <v>43040.6624</v>
      </c>
      <c r="K16" s="5" t="n">
        <v>11528</v>
      </c>
      <c r="L16" s="9" t="n">
        <v>0.03217725229928851</v>
      </c>
      <c r="M16" s="5" t="n">
        <v>31512.6624</v>
      </c>
      <c r="N16" s="9" t="n">
        <v>0.7321602559722686</v>
      </c>
    </row>
    <row r="17">
      <c r="A17" s="13" t="n">
        <v>13</v>
      </c>
      <c r="B17" s="13" t="inlineStr">
        <is>
          <t>KIT-002</t>
        </is>
      </c>
      <c r="C17" s="13" t="inlineStr">
        <is>
          <t>Cast Iron Skillet 10in</t>
        </is>
      </c>
      <c r="D17" s="13" t="inlineStr">
        <is>
          <t>Kitchen</t>
        </is>
      </c>
      <c r="E17" s="7" t="n">
        <v>736</v>
      </c>
      <c r="F17" s="7" t="n">
        <v>864</v>
      </c>
      <c r="G17" s="5" t="n">
        <v>41551.2746</v>
      </c>
      <c r="H17" s="5" t="n">
        <v>1680.9898</v>
      </c>
      <c r="I17" s="5" t="n">
        <v>1315.9757</v>
      </c>
      <c r="J17" s="5" t="n">
        <v>38554.3091</v>
      </c>
      <c r="K17" s="5" t="n">
        <v>16416</v>
      </c>
      <c r="L17" s="9" t="n">
        <v>0.03300642838648597</v>
      </c>
      <c r="M17" s="5" t="n">
        <v>22138.3091</v>
      </c>
      <c r="N17" s="9" t="n">
        <v>0.5742110186069966</v>
      </c>
    </row>
    <row r="18">
      <c r="A18" s="13" t="n">
        <v>14</v>
      </c>
      <c r="B18" s="13" t="inlineStr">
        <is>
          <t>BED-006</t>
        </is>
      </c>
      <c r="C18" s="13" t="inlineStr">
        <is>
          <t>Linen Pillowcases (2)</t>
        </is>
      </c>
      <c r="D18" s="13" t="inlineStr">
        <is>
          <t>Bedding</t>
        </is>
      </c>
      <c r="E18" s="7" t="n">
        <v>720</v>
      </c>
      <c r="F18" s="7" t="n">
        <v>836</v>
      </c>
      <c r="G18" s="5" t="n">
        <v>41043.9328</v>
      </c>
      <c r="H18" s="5" t="n">
        <v>1526.6435</v>
      </c>
      <c r="I18" s="5" t="n">
        <v>2289.4608</v>
      </c>
      <c r="J18" s="5" t="n">
        <v>37227.8285</v>
      </c>
      <c r="K18" s="5" t="n">
        <v>12540</v>
      </c>
      <c r="L18" s="9" t="n">
        <v>0.0579356742467657</v>
      </c>
      <c r="M18" s="5" t="n">
        <v>24687.8285</v>
      </c>
      <c r="N18" s="9" t="n">
        <v>0.6631552119673056</v>
      </c>
    </row>
    <row r="19">
      <c r="A19" s="13" t="n">
        <v>15</v>
      </c>
      <c r="B19" s="13" t="inlineStr">
        <is>
          <t>KIT-004</t>
        </is>
      </c>
      <c r="C19" s="13" t="inlineStr">
        <is>
          <t>Olivewood Serving Board</t>
        </is>
      </c>
      <c r="D19" s="13" t="inlineStr">
        <is>
          <t>Kitchen</t>
        </is>
      </c>
      <c r="E19" s="7" t="n">
        <v>564</v>
      </c>
      <c r="F19" s="7" t="n">
        <v>655</v>
      </c>
      <c r="G19" s="5" t="n">
        <v>38046.729</v>
      </c>
      <c r="H19" s="5" t="n">
        <v>1570.5654</v>
      </c>
      <c r="I19" s="5" t="n">
        <v>1542.9093</v>
      </c>
      <c r="J19" s="5" t="n">
        <v>34933.2543</v>
      </c>
      <c r="K19" s="5" t="n">
        <v>13755</v>
      </c>
      <c r="L19" s="9" t="n">
        <v>0.04229911119271326</v>
      </c>
      <c r="M19" s="5" t="n">
        <v>21178.2543</v>
      </c>
      <c r="N19" s="9" t="n">
        <v>0.6062491091761811</v>
      </c>
    </row>
    <row r="20">
      <c r="A20" s="13" t="n">
        <v>16</v>
      </c>
      <c r="B20" s="13" t="inlineStr">
        <is>
          <t>DEC-002</t>
        </is>
      </c>
      <c r="C20" s="13" t="inlineStr">
        <is>
          <t>Wool Throw Pillow Cover</t>
        </is>
      </c>
      <c r="D20" s="13" t="inlineStr">
        <is>
          <t>Decor</t>
        </is>
      </c>
      <c r="E20" s="7" t="n">
        <v>712</v>
      </c>
      <c r="F20" s="7" t="n">
        <v>833</v>
      </c>
      <c r="G20" s="5" t="n">
        <v>37550.3388</v>
      </c>
      <c r="H20" s="5" t="n">
        <v>1226.5492</v>
      </c>
      <c r="I20" s="5" t="n">
        <v>1961.1885</v>
      </c>
      <c r="J20" s="5" t="n">
        <v>34362.6011</v>
      </c>
      <c r="K20" s="5" t="n">
        <v>11662</v>
      </c>
      <c r="L20" s="9" t="n">
        <v>0.05399184726034203</v>
      </c>
      <c r="M20" s="5" t="n">
        <v>22700.6011</v>
      </c>
      <c r="N20" s="9" t="n">
        <v>0.6606194052056205</v>
      </c>
    </row>
    <row r="21">
      <c r="A21" s="13" t="n">
        <v>17</v>
      </c>
      <c r="B21" s="13" t="inlineStr">
        <is>
          <t>DEC-004</t>
        </is>
      </c>
      <c r="C21" s="13" t="inlineStr">
        <is>
          <t>Soy Candle - Fig</t>
        </is>
      </c>
      <c r="D21" s="13" t="inlineStr">
        <is>
          <t>Decor</t>
        </is>
      </c>
      <c r="E21" s="7" t="n">
        <v>959</v>
      </c>
      <c r="F21" s="7" t="n">
        <v>1126</v>
      </c>
      <c r="G21" s="5" t="n">
        <v>36141.19</v>
      </c>
      <c r="H21" s="5" t="n">
        <v>1497.0204</v>
      </c>
      <c r="I21" s="5" t="n">
        <v>1189.8718</v>
      </c>
      <c r="J21" s="5" t="n">
        <v>33454.2978</v>
      </c>
      <c r="K21" s="5" t="n">
        <v>9008</v>
      </c>
      <c r="L21" s="9" t="n">
        <v>0.03434551365318336</v>
      </c>
      <c r="M21" s="5" t="n">
        <v>24446.2978</v>
      </c>
      <c r="N21" s="9" t="n">
        <v>0.730737137157905</v>
      </c>
    </row>
    <row r="22">
      <c r="A22" s="13" t="n">
        <v>18</v>
      </c>
      <c r="B22" s="13" t="inlineStr">
        <is>
          <t>DEC-001</t>
        </is>
      </c>
      <c r="C22" s="13" t="inlineStr">
        <is>
          <t>Hand-Thrown Vase - Large</t>
        </is>
      </c>
      <c r="D22" s="13" t="inlineStr">
        <is>
          <t>Decor</t>
        </is>
      </c>
      <c r="E22" s="7" t="n">
        <v>372</v>
      </c>
      <c r="F22" s="7" t="n">
        <v>435</v>
      </c>
      <c r="G22" s="5" t="n">
        <v>37009.3817</v>
      </c>
      <c r="H22" s="5" t="n">
        <v>1658.691</v>
      </c>
      <c r="I22" s="5" t="n">
        <v>2413.8075</v>
      </c>
      <c r="J22" s="5" t="n">
        <v>32936.8832</v>
      </c>
      <c r="K22" s="5" t="n">
        <v>14355</v>
      </c>
      <c r="L22" s="9" t="n">
        <v>0.06828176344514819</v>
      </c>
      <c r="M22" s="5" t="n">
        <v>18581.8832</v>
      </c>
      <c r="N22" s="9" t="n">
        <v>0.5641664114715019</v>
      </c>
    </row>
    <row r="23">
      <c r="A23" s="13" t="n">
        <v>19</v>
      </c>
      <c r="B23" s="13" t="inlineStr">
        <is>
          <t>LGT-002</t>
        </is>
      </c>
      <c r="C23" s="13" t="inlineStr">
        <is>
          <t>Rattan Pendant Shade</t>
        </is>
      </c>
      <c r="D23" s="13" t="inlineStr">
        <is>
          <t>Lighting</t>
        </is>
      </c>
      <c r="E23" s="7" t="n">
        <v>245</v>
      </c>
      <c r="F23" s="7" t="n">
        <v>298</v>
      </c>
      <c r="G23" s="5" t="n">
        <v>35484.9886</v>
      </c>
      <c r="H23" s="5" t="n">
        <v>1321.7333</v>
      </c>
      <c r="I23" s="5" t="n">
        <v>2351.9518</v>
      </c>
      <c r="J23" s="5" t="n">
        <v>31811.3035</v>
      </c>
      <c r="K23" s="5" t="n">
        <v>14006</v>
      </c>
      <c r="L23" s="9" t="n">
        <v>0.06884448742798817</v>
      </c>
      <c r="M23" s="5" t="n">
        <v>17805.3035</v>
      </c>
      <c r="N23" s="9" t="n">
        <v>0.559716249917266</v>
      </c>
    </row>
    <row r="24">
      <c r="A24" s="13" t="n">
        <v>20</v>
      </c>
      <c r="B24" s="13" t="inlineStr">
        <is>
          <t>DEC-005</t>
        </is>
      </c>
      <c r="C24" s="13" t="inlineStr">
        <is>
          <t>Woven Storage Basket</t>
        </is>
      </c>
      <c r="D24" s="13" t="inlineStr">
        <is>
          <t>Decor</t>
        </is>
      </c>
      <c r="E24" s="7" t="n">
        <v>538</v>
      </c>
      <c r="F24" s="7" t="n">
        <v>639</v>
      </c>
      <c r="G24" s="5" t="n">
        <v>34558.1945</v>
      </c>
      <c r="H24" s="5" t="n">
        <v>1230.19</v>
      </c>
      <c r="I24" s="5" t="n">
        <v>1928.006</v>
      </c>
      <c r="J24" s="5" t="n">
        <v>31399.9985</v>
      </c>
      <c r="K24" s="5" t="n">
        <v>12141</v>
      </c>
      <c r="L24" s="9" t="n">
        <v>0.05784942809882303</v>
      </c>
      <c r="M24" s="5" t="n">
        <v>19258.9985</v>
      </c>
      <c r="N24" s="9" t="n">
        <v>0.6133439305737547</v>
      </c>
    </row>
    <row r="25">
      <c r="A25" s="13" t="n">
        <v>21</v>
      </c>
      <c r="B25" s="13" t="inlineStr">
        <is>
          <t>KIT-003</t>
        </is>
      </c>
      <c r="C25" s="13" t="inlineStr">
        <is>
          <t>Linen Tea Towels (3)</t>
        </is>
      </c>
      <c r="D25" s="13" t="inlineStr">
        <is>
          <t>Kitchen</t>
        </is>
      </c>
      <c r="E25" s="7" t="n">
        <v>1103</v>
      </c>
      <c r="F25" s="7" t="n">
        <v>1276</v>
      </c>
      <c r="G25" s="5" t="n">
        <v>30725.5071</v>
      </c>
      <c r="H25" s="5" t="n">
        <v>1187.3604</v>
      </c>
      <c r="I25" s="5" t="n">
        <v>1053.617</v>
      </c>
      <c r="J25" s="5" t="n">
        <v>28484.5297</v>
      </c>
      <c r="K25" s="5" t="n">
        <v>8294</v>
      </c>
      <c r="L25" s="9" t="n">
        <v>0.03566970570973568</v>
      </c>
      <c r="M25" s="5" t="n">
        <v>20190.5297</v>
      </c>
      <c r="N25" s="9" t="n">
        <v>0.7088244009168246</v>
      </c>
    </row>
    <row r="26">
      <c r="A26" s="13" t="n">
        <v>22</v>
      </c>
      <c r="B26" s="13" t="inlineStr">
        <is>
          <t>BAT-005</t>
        </is>
      </c>
      <c r="C26" s="13" t="inlineStr">
        <is>
          <t>Hand Towels (2)</t>
        </is>
      </c>
      <c r="D26" s="13" t="inlineStr">
        <is>
          <t>Bath</t>
        </is>
      </c>
      <c r="E26" s="7" t="n">
        <v>796</v>
      </c>
      <c r="F26" s="7" t="n">
        <v>922</v>
      </c>
      <c r="G26" s="5" t="n">
        <v>29591.2009</v>
      </c>
      <c r="H26" s="5" t="n">
        <v>1182.7798</v>
      </c>
      <c r="I26" s="5" t="n">
        <v>648.7989</v>
      </c>
      <c r="J26" s="5" t="n">
        <v>27759.6222</v>
      </c>
      <c r="K26" s="5" t="n">
        <v>8298</v>
      </c>
      <c r="L26" s="9" t="n">
        <v>0.0228382597440447</v>
      </c>
      <c r="M26" s="5" t="n">
        <v>19461.6222</v>
      </c>
      <c r="N26" s="9" t="n">
        <v>0.701076623441943</v>
      </c>
    </row>
    <row r="27">
      <c r="A27" s="13" t="n">
        <v>23</v>
      </c>
      <c r="B27" s="13" t="inlineStr">
        <is>
          <t>KIT-005</t>
        </is>
      </c>
      <c r="C27" s="13" t="inlineStr">
        <is>
          <t>Glass Storage Jars (6)</t>
        </is>
      </c>
      <c r="D27" s="13" t="inlineStr">
        <is>
          <t>Kitchen</t>
        </is>
      </c>
      <c r="E27" s="7" t="n">
        <v>698</v>
      </c>
      <c r="F27" s="7" t="n">
        <v>814</v>
      </c>
      <c r="G27" s="5" t="n">
        <v>31791.4262</v>
      </c>
      <c r="H27" s="5" t="n">
        <v>1292.8756</v>
      </c>
      <c r="I27" s="5" t="n">
        <v>2947.7573</v>
      </c>
      <c r="J27" s="5" t="n">
        <v>27550.7933</v>
      </c>
      <c r="K27" s="5" t="n">
        <v>11396</v>
      </c>
      <c r="L27" s="9" t="n">
        <v>0.09665237337540886</v>
      </c>
      <c r="M27" s="5" t="n">
        <v>16154.7933</v>
      </c>
      <c r="N27" s="9" t="n">
        <v>0.5863639977292414</v>
      </c>
    </row>
    <row r="28">
      <c r="A28" s="13" t="n">
        <v>24</v>
      </c>
      <c r="B28" s="13" t="inlineStr">
        <is>
          <t>KIT-006</t>
        </is>
      </c>
      <c r="C28" s="13" t="inlineStr">
        <is>
          <t>Ceramic Pour-Over Set</t>
        </is>
      </c>
      <c r="D28" s="13" t="inlineStr">
        <is>
          <t>Kitchen</t>
        </is>
      </c>
      <c r="E28" s="7" t="n">
        <v>362</v>
      </c>
      <c r="F28" s="7" t="n">
        <v>418</v>
      </c>
      <c r="G28" s="5" t="n">
        <v>30130.2997</v>
      </c>
      <c r="H28" s="5" t="n">
        <v>1102.5825</v>
      </c>
      <c r="I28" s="5" t="n">
        <v>1982.3562</v>
      </c>
      <c r="J28" s="5" t="n">
        <v>27045.361</v>
      </c>
      <c r="K28" s="5" t="n">
        <v>12540</v>
      </c>
      <c r="L28" s="9" t="n">
        <v>0.06829183935965864</v>
      </c>
      <c r="M28" s="5" t="n">
        <v>14505.361</v>
      </c>
      <c r="N28" s="9" t="n">
        <v>0.5363345307167466</v>
      </c>
    </row>
    <row r="29">
      <c r="A29" s="13" t="n">
        <v>25</v>
      </c>
      <c r="B29" s="13" t="inlineStr">
        <is>
          <t>BAT-006</t>
        </is>
      </c>
      <c r="C29" s="13" t="inlineStr">
        <is>
          <t>Shower Curtain - Linen</t>
        </is>
      </c>
      <c r="D29" s="13" t="inlineStr">
        <is>
          <t>Bath</t>
        </is>
      </c>
      <c r="E29" s="7" t="n">
        <v>388</v>
      </c>
      <c r="F29" s="7" t="n">
        <v>447</v>
      </c>
      <c r="G29" s="5" t="n">
        <v>26413.1294</v>
      </c>
      <c r="H29" s="5" t="n">
        <v>1054.6335</v>
      </c>
      <c r="I29" s="5" t="n">
        <v>1228.2815</v>
      </c>
      <c r="J29" s="5" t="n">
        <v>24130.2144</v>
      </c>
      <c r="K29" s="5" t="n">
        <v>8940</v>
      </c>
      <c r="L29" s="9" t="n">
        <v>0.04843668586826555</v>
      </c>
      <c r="M29" s="5" t="n">
        <v>15190.2144</v>
      </c>
      <c r="N29" s="9" t="n">
        <v>0.6295101298395426</v>
      </c>
    </row>
    <row r="30">
      <c r="A30" s="13" t="n">
        <v>26</v>
      </c>
      <c r="B30" s="13" t="inlineStr">
        <is>
          <t>BAT-003</t>
        </is>
      </c>
      <c r="C30" s="13" t="inlineStr">
        <is>
          <t>Teak Bath Mat</t>
        </is>
      </c>
      <c r="D30" s="13" t="inlineStr">
        <is>
          <t>Bath</t>
        </is>
      </c>
      <c r="E30" s="7" t="n">
        <v>296</v>
      </c>
      <c r="F30" s="7" t="n">
        <v>336</v>
      </c>
      <c r="G30" s="5" t="n">
        <v>23214.94</v>
      </c>
      <c r="H30" s="5" t="n">
        <v>919.302</v>
      </c>
      <c r="I30" s="5" t="n">
        <v>1278.2082</v>
      </c>
      <c r="J30" s="5" t="n">
        <v>21017.4298</v>
      </c>
      <c r="K30" s="5" t="n">
        <v>10416</v>
      </c>
      <c r="L30" s="9" t="n">
        <v>0.05732996741335682</v>
      </c>
      <c r="M30" s="5" t="n">
        <v>10601.4298</v>
      </c>
      <c r="N30" s="9" t="n">
        <v>0.5044113338729934</v>
      </c>
    </row>
    <row r="31">
      <c r="A31" s="13" t="n">
        <v>27</v>
      </c>
      <c r="B31" s="13" t="inlineStr">
        <is>
          <t>DEC-006</t>
        </is>
      </c>
      <c r="C31" s="13" t="inlineStr">
        <is>
          <t>Framed Botanical Print</t>
        </is>
      </c>
      <c r="D31" s="13" t="inlineStr">
        <is>
          <t>Decor</t>
        </is>
      </c>
      <c r="E31" s="7" t="n">
        <v>254</v>
      </c>
      <c r="F31" s="7" t="n">
        <v>303</v>
      </c>
      <c r="G31" s="5" t="n">
        <v>23066.9512</v>
      </c>
      <c r="H31" s="5" t="n">
        <v>1069.6343</v>
      </c>
      <c r="I31" s="5" t="n">
        <v>2342.216</v>
      </c>
      <c r="J31" s="5" t="n">
        <v>19655.1009</v>
      </c>
      <c r="K31" s="5" t="n">
        <v>8787</v>
      </c>
      <c r="L31" s="9" t="n">
        <v>0.1064773495171132</v>
      </c>
      <c r="M31" s="5" t="n">
        <v>10868.1009</v>
      </c>
      <c r="N31" s="9" t="n">
        <v>0.5529404786723837</v>
      </c>
    </row>
    <row r="32">
      <c r="A32" s="13" t="n">
        <v>28</v>
      </c>
      <c r="B32" s="13" t="inlineStr">
        <is>
          <t>LGT-004</t>
        </is>
      </c>
      <c r="C32" s="13" t="inlineStr">
        <is>
          <t>Beeswax Taper Candles (6)</t>
        </is>
      </c>
      <c r="D32" s="13" t="inlineStr">
        <is>
          <t>Lighting</t>
        </is>
      </c>
      <c r="E32" s="7" t="n">
        <v>619</v>
      </c>
      <c r="F32" s="7" t="n">
        <v>722</v>
      </c>
      <c r="G32" s="5" t="n">
        <v>18841.918</v>
      </c>
      <c r="H32" s="5" t="n">
        <v>780.4016</v>
      </c>
      <c r="I32" s="5" t="n">
        <v>457.0124</v>
      </c>
      <c r="J32" s="5" t="n">
        <v>17604.504</v>
      </c>
      <c r="K32" s="5" t="n">
        <v>5415</v>
      </c>
      <c r="L32" s="9" t="n">
        <v>0.02530310245711152</v>
      </c>
      <c r="M32" s="5" t="n">
        <v>12189.504</v>
      </c>
      <c r="N32" s="9" t="n">
        <v>0.69240826097685</v>
      </c>
    </row>
    <row r="33">
      <c r="A33" s="13" t="n">
        <v>29</v>
      </c>
      <c r="B33" s="13" t="inlineStr">
        <is>
          <t>BED-008</t>
        </is>
      </c>
      <c r="C33" s="13" t="inlineStr">
        <is>
          <t>Silk Sleep Mask</t>
        </is>
      </c>
      <c r="D33" s="13" t="inlineStr">
        <is>
          <t>Bedding</t>
        </is>
      </c>
      <c r="E33" s="7" t="n">
        <v>490</v>
      </c>
      <c r="F33" s="7" t="n">
        <v>582</v>
      </c>
      <c r="G33" s="5" t="n">
        <v>16924.1876</v>
      </c>
      <c r="H33" s="5" t="n">
        <v>647.2166999999999</v>
      </c>
      <c r="I33" s="5" t="n">
        <v>611.9493</v>
      </c>
      <c r="J33" s="5" t="n">
        <v>15665.0216</v>
      </c>
      <c r="K33" s="5" t="n">
        <v>5238</v>
      </c>
      <c r="L33" s="9" t="n">
        <v>0.03759601855649936</v>
      </c>
      <c r="M33" s="5" t="n">
        <v>10427.0216</v>
      </c>
      <c r="N33" s="9" t="n">
        <v>0.6656244636138899</v>
      </c>
    </row>
    <row r="34">
      <c r="A34" s="13" t="n">
        <v>30</v>
      </c>
      <c r="B34" s="13" t="inlineStr">
        <is>
          <t>LGT-003</t>
        </is>
      </c>
      <c r="C34" s="13" t="inlineStr">
        <is>
          <t>Linen Lamp Shade</t>
        </is>
      </c>
      <c r="D34" s="13" t="inlineStr">
        <is>
          <t>Lighting</t>
        </is>
      </c>
      <c r="E34" s="7" t="n">
        <v>311</v>
      </c>
      <c r="F34" s="7" t="n">
        <v>358</v>
      </c>
      <c r="G34" s="5" t="n">
        <v>17574.8892</v>
      </c>
      <c r="H34" s="5" t="n">
        <v>728.5738</v>
      </c>
      <c r="I34" s="5" t="n">
        <v>1241.5319</v>
      </c>
      <c r="J34" s="5" t="n">
        <v>15604.7835</v>
      </c>
      <c r="K34" s="5" t="n">
        <v>6086</v>
      </c>
      <c r="L34" s="9" t="n">
        <v>0.07369753388328464</v>
      </c>
      <c r="M34" s="5" t="n">
        <v>9518.7835</v>
      </c>
      <c r="N34" s="9" t="n">
        <v>0.609991385013448</v>
      </c>
    </row>
    <row r="35">
      <c r="A35" s="13" t="n">
        <v>31</v>
      </c>
      <c r="B35" s="13" t="inlineStr">
        <is>
          <t>BAT-004</t>
        </is>
      </c>
      <c r="C35" s="13" t="inlineStr">
        <is>
          <t>Ceramic Soap Dispenser</t>
        </is>
      </c>
      <c r="D35" s="13" t="inlineStr">
        <is>
          <t>Bath</t>
        </is>
      </c>
      <c r="E35" s="7" t="n">
        <v>520</v>
      </c>
      <c r="F35" s="7" t="n">
        <v>599</v>
      </c>
      <c r="G35" s="5" t="n">
        <v>16816.5018</v>
      </c>
      <c r="H35" s="5" t="n">
        <v>635.7221</v>
      </c>
      <c r="I35" s="5" t="n">
        <v>1659.9726</v>
      </c>
      <c r="J35" s="5" t="n">
        <v>14520.8071</v>
      </c>
      <c r="K35" s="5" t="n">
        <v>5690.5</v>
      </c>
      <c r="L35" s="9" t="n">
        <v>0.1025891601502986</v>
      </c>
      <c r="M35" s="5" t="n">
        <v>8830.3071</v>
      </c>
      <c r="N35" s="9" t="n">
        <v>0.608114069637355</v>
      </c>
    </row>
    <row r="36">
      <c r="A36" s="13" t="n">
        <v>32</v>
      </c>
      <c r="B36" s="13" t="inlineStr">
        <is>
          <t>KIT-008</t>
        </is>
      </c>
      <c r="C36" s="13" t="inlineStr">
        <is>
          <t>Bamboo Utensil Set</t>
        </is>
      </c>
      <c r="D36" s="13" t="inlineStr">
        <is>
          <t>Kitchen</t>
        </is>
      </c>
      <c r="E36" s="7" t="n">
        <v>557</v>
      </c>
      <c r="F36" s="7" t="n">
        <v>653</v>
      </c>
      <c r="G36" s="5" t="n">
        <v>14404.5333</v>
      </c>
      <c r="H36" s="5" t="n">
        <v>609.0671</v>
      </c>
      <c r="I36" s="5" t="n">
        <v>446.1494</v>
      </c>
      <c r="J36" s="5" t="n">
        <v>13349.3168</v>
      </c>
      <c r="K36" s="5" t="n">
        <v>4571</v>
      </c>
      <c r="L36" s="9" t="n">
        <v>0.03234029162421492</v>
      </c>
      <c r="M36" s="5" t="n">
        <v>8778.316800000001</v>
      </c>
      <c r="N36" s="9" t="n">
        <v>0.65758547283858</v>
      </c>
    </row>
    <row r="37">
      <c r="A37" s="13" t="n">
        <v>33</v>
      </c>
      <c r="B37" s="13" t="inlineStr">
        <is>
          <t>LGT-006</t>
        </is>
      </c>
      <c r="C37" s="13" t="inlineStr">
        <is>
          <t>Smart Bulb Starter Kit</t>
        </is>
      </c>
      <c r="D37" s="13" t="inlineStr">
        <is>
          <t>Lighting</t>
        </is>
      </c>
      <c r="E37" s="7" t="n">
        <v>191</v>
      </c>
      <c r="F37" s="7" t="n">
        <v>223</v>
      </c>
      <c r="G37" s="5" t="n">
        <v>13179.2558</v>
      </c>
      <c r="H37" s="5" t="n">
        <v>549.3424</v>
      </c>
      <c r="I37" s="5" t="n">
        <v>905.8529</v>
      </c>
      <c r="J37" s="5" t="n">
        <v>11724.0605</v>
      </c>
      <c r="K37" s="5" t="n">
        <v>9143</v>
      </c>
      <c r="L37" s="9" t="n">
        <v>0.07172281165443303</v>
      </c>
      <c r="M37" s="5" t="n">
        <v>2581.0605</v>
      </c>
      <c r="N37" s="9" t="n">
        <v>0.2201507319072603</v>
      </c>
    </row>
    <row r="38">
      <c r="A38" s="13" t="n">
        <v>34</v>
      </c>
      <c r="B38" s="13" t="inlineStr">
        <is>
          <t>KIT-007</t>
        </is>
      </c>
      <c r="C38" s="13" t="inlineStr">
        <is>
          <t>Copper Measuring Cups</t>
        </is>
      </c>
      <c r="D38" s="13" t="inlineStr">
        <is>
          <t>Kitchen</t>
        </is>
      </c>
      <c r="E38" s="7" t="n">
        <v>248</v>
      </c>
      <c r="F38" s="7" t="n">
        <v>280</v>
      </c>
      <c r="G38" s="5" t="n">
        <v>9539.1988</v>
      </c>
      <c r="H38" s="5" t="n">
        <v>347.5256</v>
      </c>
      <c r="I38" s="5" t="n">
        <v>497.0573</v>
      </c>
      <c r="J38" s="5" t="n">
        <v>8694.615900000001</v>
      </c>
      <c r="K38" s="5" t="n">
        <v>4200</v>
      </c>
      <c r="L38" s="9" t="n">
        <v>0.05407691169873185</v>
      </c>
      <c r="M38" s="5" t="n">
        <v>4494.615900000001</v>
      </c>
      <c r="N38" s="9" t="n">
        <v>0.5169424333051906</v>
      </c>
    </row>
    <row r="39">
      <c r="A39" s="13" t="n">
        <v>35</v>
      </c>
      <c r="B39" s="13" t="inlineStr">
        <is>
          <t>DEC-008</t>
        </is>
      </c>
      <c r="C39" s="13" t="inlineStr">
        <is>
          <t>Brass Picture Frame</t>
        </is>
      </c>
      <c r="D39" s="13" t="inlineStr">
        <is>
          <t>Decor</t>
        </is>
      </c>
      <c r="E39" s="7" t="n">
        <v>199</v>
      </c>
      <c r="F39" s="7" t="n">
        <v>235</v>
      </c>
      <c r="G39" s="5" t="n">
        <v>8949.1116</v>
      </c>
      <c r="H39" s="5" t="n">
        <v>274.2574</v>
      </c>
      <c r="I39" s="5" t="n">
        <v>674.2203</v>
      </c>
      <c r="J39" s="5" t="n">
        <v>8000.6339</v>
      </c>
      <c r="K39" s="5" t="n">
        <v>3995</v>
      </c>
      <c r="L39" s="9" t="n">
        <v>0.07772122556249994</v>
      </c>
      <c r="M39" s="5" t="n">
        <v>4005.6339</v>
      </c>
      <c r="N39" s="9" t="n">
        <v>0.5006645660914443</v>
      </c>
    </row>
    <row r="40">
      <c r="A40" s="13" t="n">
        <v>36</v>
      </c>
      <c r="B40" s="13" t="inlineStr">
        <is>
          <t>LGT-005</t>
        </is>
      </c>
      <c r="C40" s="13" t="inlineStr">
        <is>
          <t>Glass Hurricane Lantern</t>
        </is>
      </c>
      <c r="D40" s="13" t="inlineStr">
        <is>
          <t>Lighting</t>
        </is>
      </c>
      <c r="E40" s="7" t="n">
        <v>163</v>
      </c>
      <c r="F40" s="7" t="n">
        <v>202</v>
      </c>
      <c r="G40" s="5" t="n">
        <v>8905.977999999999</v>
      </c>
      <c r="H40" s="5" t="n">
        <v>330.5569</v>
      </c>
      <c r="I40" s="5" t="n">
        <v>1669.6623</v>
      </c>
      <c r="J40" s="5" t="n">
        <v>6905.7588</v>
      </c>
      <c r="K40" s="5" t="n">
        <v>3636</v>
      </c>
      <c r="L40" s="9" t="n">
        <v>0.1947032432028323</v>
      </c>
      <c r="M40" s="5" t="n">
        <v>3269.7588</v>
      </c>
      <c r="N40" s="9" t="n">
        <v>0.4734829139992552</v>
      </c>
    </row>
  </sheetData>
  <conditionalFormatting sqref="I5:I40">
    <cfRule type="dataBar" priority="1">
      <dataBar>
        <cfvo type="min"/>
        <cfvo type="max"/>
        <color rgb="006DA7EC"/>
      </dataBar>
    </cfRule>
  </conditionalFormatting>
  <conditionalFormatting sqref="K5:K40">
    <cfRule type="colorScale" priority="2">
      <colorScale>
        <cfvo type="min"/>
        <cfvo type="max"/>
        <color rgb="00FFFFFF"/>
        <color rgb="00EB683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Charts</t>
        </is>
      </c>
    </row>
    <row r="2">
      <c r="A2" s="2" t="inlineStr">
        <is>
          <t>Sample project — synthetic data, not client work. Same PNGs as in the deliverables folder.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2" customWidth="1" min="3" max="3"/>
    <col width="12" customWidth="1" min="4" max="4"/>
    <col width="12" customWidth="1" min="5" max="5"/>
    <col width="14" customWidth="1" min="6" max="6"/>
    <col width="80" customWidth="1" min="7" max="7"/>
  </cols>
  <sheetData>
    <row r="1">
      <c r="A1" s="1" t="inlineStr">
        <is>
          <t>Data quality log</t>
        </is>
      </c>
    </row>
    <row r="2">
      <c r="A2" s="2" t="inlineStr">
        <is>
          <t>Sample project — synthetic data, not client work. Every cleaning rule applied by src/clean.py, in order. Nothing is dropped silently.</t>
        </is>
      </c>
    </row>
    <row r="4" ht="32" customHeight="1">
      <c r="A4" s="12" t="inlineStr">
        <is>
          <t>Step</t>
        </is>
      </c>
      <c r="B4" s="12" t="inlineStr">
        <is>
          <t>Dataset</t>
        </is>
      </c>
      <c r="C4" s="12" t="inlineStr">
        <is>
          <t>Rule</t>
        </is>
      </c>
      <c r="D4" s="12" t="inlineStr">
        <is>
          <t>Rows Affected</t>
        </is>
      </c>
      <c r="E4" s="12" t="inlineStr">
        <is>
          <t>Orders Affected</t>
        </is>
      </c>
      <c r="F4" s="12" t="inlineStr">
        <is>
          <t>Value (USD)</t>
        </is>
      </c>
      <c r="G4" s="12" t="inlineStr">
        <is>
          <t>Action</t>
        </is>
      </c>
    </row>
    <row r="5">
      <c r="A5" s="13" t="n">
        <v>1</v>
      </c>
      <c r="B5" s="13" t="inlineStr">
        <is>
          <t>orders</t>
        </is>
      </c>
      <c r="C5" s="17" t="inlineStr">
        <is>
          <t>Raw order-line rows loaded</t>
        </is>
      </c>
      <c r="D5" s="7" t="n">
        <v>20513</v>
      </c>
      <c r="E5" s="7" t="n">
        <v>10468</v>
      </c>
      <c r="F5" s="5" t="n"/>
      <c r="G5" s="17" t="inlineStr">
        <is>
          <t>input</t>
        </is>
      </c>
    </row>
    <row r="6">
      <c r="A6" s="13" t="n">
        <v>2</v>
      </c>
      <c r="B6" s="13" t="inlineStr">
        <is>
          <t>orders</t>
        </is>
      </c>
      <c r="C6" s="17" t="inlineStr">
        <is>
          <t>Currency code had stray whitespace / lowercase</t>
        </is>
      </c>
      <c r="D6" s="7" t="n">
        <v>60</v>
      </c>
      <c r="E6" s="7" t="n"/>
      <c r="F6" s="5" t="n"/>
      <c r="G6" s="17" t="inlineStr">
        <is>
          <t>fixed (trim + upper-case)</t>
        </is>
      </c>
    </row>
    <row r="7">
      <c r="A7" s="13" t="n">
        <v>3</v>
      </c>
      <c r="B7" s="13" t="inlineStr">
        <is>
          <t>orders</t>
        </is>
      </c>
      <c r="C7" s="17" t="inlineStr">
        <is>
          <t>Email had leading spaces / upper-case</t>
        </is>
      </c>
      <c r="D7" s="7" t="n">
        <v>40</v>
      </c>
      <c r="E7" s="7" t="n"/>
      <c r="F7" s="5" t="n"/>
      <c r="G7" s="17" t="inlineStr">
        <is>
          <t>fixed (trim + lower-case)</t>
        </is>
      </c>
    </row>
    <row r="8">
      <c r="A8" s="13" t="n">
        <v>4</v>
      </c>
      <c r="B8" s="13" t="inlineStr">
        <is>
          <t>orders</t>
        </is>
      </c>
      <c r="C8" s="17" t="inlineStr">
        <is>
          <t>Timestamps in UTC 'Z' format</t>
        </is>
      </c>
      <c r="D8" s="7" t="n">
        <v>14423</v>
      </c>
      <c r="E8" s="7" t="n"/>
      <c r="F8" s="5" t="n"/>
      <c r="G8" s="17" t="inlineStr">
        <is>
          <t>parsed</t>
        </is>
      </c>
    </row>
    <row r="9">
      <c r="A9" s="13" t="n">
        <v>5</v>
      </c>
      <c r="B9" s="13" t="inlineStr">
        <is>
          <t>orders</t>
        </is>
      </c>
      <c r="C9" s="17" t="inlineStr">
        <is>
          <t>Timestamps with explicit UTC offset (e.g. -04:00)</t>
        </is>
      </c>
      <c r="D9" s="7" t="n">
        <v>5017</v>
      </c>
      <c r="E9" s="7" t="n"/>
      <c r="F9" s="5" t="n"/>
      <c r="G9" s="17" t="inlineStr">
        <is>
          <t>converted to UTC</t>
        </is>
      </c>
    </row>
    <row r="10">
      <c r="A10" s="13" t="n">
        <v>6</v>
      </c>
      <c r="B10" s="13" t="inlineStr">
        <is>
          <t>orders</t>
        </is>
      </c>
      <c r="C10" s="17" t="inlineStr">
        <is>
          <t>Naive timestamps (legacy export, no zone)</t>
        </is>
      </c>
      <c r="D10" s="7" t="n">
        <v>1073</v>
      </c>
      <c r="E10" s="7" t="n"/>
      <c r="F10" s="5" t="n"/>
      <c r="G10" s="17" t="inlineStr">
        <is>
          <t>assumed store-local America/New_York, converted to UTC</t>
        </is>
      </c>
    </row>
    <row r="11">
      <c r="A11" s="13" t="n">
        <v>7</v>
      </c>
      <c r="B11" s="13" t="inlineStr">
        <is>
          <t>orders</t>
        </is>
      </c>
      <c r="C11" s="17" t="inlineStr">
        <is>
          <t>Unparseable timestamps</t>
        </is>
      </c>
      <c r="D11" s="7" t="n">
        <v>0</v>
      </c>
      <c r="E11" s="7" t="n"/>
      <c r="F11" s="5" t="n"/>
      <c r="G11" s="17" t="inlineStr">
        <is>
          <t>removed</t>
        </is>
      </c>
    </row>
    <row r="12">
      <c r="A12" s="13" t="n">
        <v>8</v>
      </c>
      <c r="B12" s="13" t="inlineStr">
        <is>
          <t>orders</t>
        </is>
      </c>
      <c r="C12" s="17" t="inlineStr">
        <is>
          <t>Orders whose lines disagree on timestamp</t>
        </is>
      </c>
      <c r="D12" s="7" t="n">
        <v>0</v>
      </c>
      <c r="E12" s="7" t="n">
        <v>0</v>
      </c>
      <c r="F12" s="5" t="n"/>
      <c r="G12" s="17" t="inlineStr">
        <is>
          <t>check only (0 expected)</t>
        </is>
      </c>
    </row>
    <row r="13">
      <c r="A13" s="13" t="n">
        <v>9</v>
      </c>
      <c r="B13" s="13" t="inlineStr">
        <is>
          <t>orders</t>
        </is>
      </c>
      <c r="C13" s="17" t="inlineStr">
        <is>
          <t>Duplicated order lines (same order_id + line_number, identical content)</t>
        </is>
      </c>
      <c r="D13" s="7" t="n">
        <v>165</v>
      </c>
      <c r="E13" s="7" t="n">
        <v>85</v>
      </c>
      <c r="F13" s="5" t="n">
        <v>12886.95</v>
      </c>
      <c r="G13" s="17" t="inlineStr">
        <is>
          <t>removed (value = gross sales it would have double-counted)</t>
        </is>
      </c>
    </row>
    <row r="14">
      <c r="A14" s="13" t="n">
        <v>10</v>
      </c>
      <c r="B14" s="13" t="inlineStr">
        <is>
          <t>orders</t>
        </is>
      </c>
      <c r="C14" s="17" t="inlineStr">
        <is>
          <t>Staff test orders (email @northwind-test.*)</t>
        </is>
      </c>
      <c r="D14" s="7" t="n">
        <v>12</v>
      </c>
      <c r="E14" s="7" t="n">
        <v>12</v>
      </c>
      <c r="F14" s="5" t="n">
        <v>384</v>
      </c>
      <c r="G14" s="17" t="inlineStr">
        <is>
          <t>removed</t>
        </is>
      </c>
    </row>
    <row r="15">
      <c r="A15" s="13" t="n">
        <v>11</v>
      </c>
      <c r="B15" s="13" t="inlineStr">
        <is>
          <t>orders</t>
        </is>
      </c>
      <c r="C15" s="17" t="inlineStr">
        <is>
          <t>Voided orders (payment never captured)</t>
        </is>
      </c>
      <c r="D15" s="7" t="n">
        <v>125</v>
      </c>
      <c r="E15" s="7" t="n">
        <v>60</v>
      </c>
      <c r="F15" s="5" t="n">
        <v>11054.01</v>
      </c>
      <c r="G15" s="17" t="inlineStr">
        <is>
          <t>removed</t>
        </is>
      </c>
    </row>
    <row r="16">
      <c r="A16" s="13" t="n">
        <v>12</v>
      </c>
      <c r="B16" s="13" t="inlineStr">
        <is>
          <t>orders</t>
        </is>
      </c>
      <c r="C16" s="17" t="inlineStr">
        <is>
          <t>Non-positive quantity on a sale line (manual adjustment keyed into wrong field)</t>
        </is>
      </c>
      <c r="D16" s="7" t="n">
        <v>37</v>
      </c>
      <c r="E16" s="7" t="n">
        <v>37</v>
      </c>
      <c r="F16" s="5" t="n">
        <v>2385.98</v>
      </c>
      <c r="G16" s="17" t="inlineStr">
        <is>
          <t>quarantined: line excluded from all metrics (cannot tell if return or typo); see data/clean/quarantine.csv</t>
        </is>
      </c>
    </row>
    <row r="17">
      <c r="A17" s="13" t="n">
        <v>13</v>
      </c>
      <c r="B17" s="13" t="inlineStr">
        <is>
          <t>orders</t>
        </is>
      </c>
      <c r="C17" s="17" t="inlineStr">
        <is>
          <t>Missing email recovered from another line of the same order</t>
        </is>
      </c>
      <c r="D17" s="7" t="n">
        <v>115</v>
      </c>
      <c r="E17" s="7" t="n">
        <v>115</v>
      </c>
      <c r="F17" s="5" t="n"/>
      <c r="G17" s="17" t="inlineStr">
        <is>
          <t>fixed</t>
        </is>
      </c>
    </row>
    <row r="18">
      <c r="A18" s="13" t="n">
        <v>14</v>
      </c>
      <c r="B18" s="13" t="inlineStr">
        <is>
          <t>orders</t>
        </is>
      </c>
      <c r="C18" s="17" t="inlineStr">
        <is>
          <t>Missing email, not recoverable (guest checkout / export glitch)</t>
        </is>
      </c>
      <c r="D18" s="7" t="n">
        <v>24</v>
      </c>
      <c r="E18" s="7" t="n">
        <v>23</v>
      </c>
      <c r="F18" s="5" t="n"/>
      <c r="G18" s="17" t="inlineStr">
        <is>
          <t>kept in revenue &amp; order counts; excluded from customer metrics (repeat rate, cohorts, CAC)</t>
        </is>
      </c>
    </row>
    <row r="19">
      <c r="A19" s="13" t="n">
        <v>15</v>
      </c>
      <c r="B19" s="13" t="inlineStr">
        <is>
          <t>orders</t>
        </is>
      </c>
      <c r="C19" s="17" t="inlineStr">
        <is>
          <t>Unknown currency code</t>
        </is>
      </c>
      <c r="D19" s="7" t="n">
        <v>0</v>
      </c>
      <c r="E19" s="7" t="n"/>
      <c r="F19" s="5" t="n"/>
      <c r="G19" s="17" t="inlineStr">
        <is>
          <t>removed</t>
        </is>
      </c>
    </row>
    <row r="20">
      <c r="A20" s="13" t="n">
        <v>16</v>
      </c>
      <c r="B20" s="13" t="inlineStr">
        <is>
          <t>orders</t>
        </is>
      </c>
      <c r="C20" s="17" t="inlineStr">
        <is>
          <t>CAD lines converted to USD at monthly finance rate</t>
        </is>
      </c>
      <c r="D20" s="7" t="n">
        <v>4493</v>
      </c>
      <c r="E20" s="7" t="n">
        <v>2320</v>
      </c>
      <c r="F20" s="5" t="n">
        <v>369131.26</v>
      </c>
      <c r="G20" s="17" t="inlineStr">
        <is>
          <t>converted (value = USD gross sales)</t>
        </is>
      </c>
    </row>
    <row r="21">
      <c r="A21" s="13" t="n">
        <v>17</v>
      </c>
      <c r="B21" s="13" t="inlineStr">
        <is>
          <t>orders</t>
        </is>
      </c>
      <c r="C21" s="17" t="inlineStr">
        <is>
          <t>Refund larger than line net value</t>
        </is>
      </c>
      <c r="D21" s="7" t="n">
        <v>0</v>
      </c>
      <c r="E21" s="7" t="n"/>
      <c r="F21" s="5" t="n"/>
      <c r="G21" s="17" t="inlineStr">
        <is>
          <t>check only (0 expected)</t>
        </is>
      </c>
    </row>
    <row r="22">
      <c r="A22" s="13" t="n">
        <v>18</v>
      </c>
      <c r="B22" s="13" t="inlineStr">
        <is>
          <t>orders</t>
        </is>
      </c>
      <c r="C22" s="17" t="inlineStr">
        <is>
          <t>SKU not in product catalog</t>
        </is>
      </c>
      <c r="D22" s="7" t="n">
        <v>0</v>
      </c>
      <c r="E22" s="7" t="n"/>
      <c r="F22" s="5" t="n"/>
      <c r="G22" s="17" t="inlineStr">
        <is>
          <t>check only (0 expected)</t>
        </is>
      </c>
    </row>
    <row r="23">
      <c r="A23" s="13" t="n">
        <v>19</v>
      </c>
      <c r="B23" s="13" t="inlineStr">
        <is>
          <t>orders</t>
        </is>
      </c>
      <c r="C23" s="17" t="inlineStr">
        <is>
          <t>Clean order lines written</t>
        </is>
      </c>
      <c r="D23" s="7" t="n">
        <v>20174</v>
      </c>
      <c r="E23" s="7" t="n">
        <v>10386</v>
      </c>
      <c r="F23" s="5" t="n">
        <v>1452336.68</v>
      </c>
      <c r="G23" s="17" t="inlineStr">
        <is>
          <t>output (value = net revenue USD)</t>
        </is>
      </c>
    </row>
    <row r="24">
      <c r="A24" s="13" t="n">
        <v>20</v>
      </c>
      <c r="B24" s="13" t="inlineStr">
        <is>
          <t>ad spend</t>
        </is>
      </c>
      <c r="C24" s="17" t="inlineStr">
        <is>
          <t>Raw ad-spend rows loaded</t>
        </is>
      </c>
      <c r="D24" s="7" t="n">
        <v>2749</v>
      </c>
      <c r="E24" s="7" t="n"/>
      <c r="F24" s="5" t="n">
        <v>289087.81</v>
      </c>
      <c r="G24" s="17" t="inlineStr">
        <is>
          <t>input</t>
        </is>
      </c>
    </row>
    <row r="25">
      <c r="A25" s="13" t="n">
        <v>21</v>
      </c>
      <c r="B25" s="13" t="inlineStr">
        <is>
          <t>ad spend</t>
        </is>
      </c>
      <c r="C25" s="17" t="inlineStr">
        <is>
          <t>Duplicated spend rows (date + campaign)</t>
        </is>
      </c>
      <c r="D25" s="7" t="n">
        <v>9</v>
      </c>
      <c r="E25" s="7" t="n"/>
      <c r="F25" s="5" t="n">
        <v>480.59</v>
      </c>
      <c r="G25" s="17" t="inlineStr">
        <is>
          <t>removed</t>
        </is>
      </c>
    </row>
    <row r="26">
      <c r="A26" s="13" t="n">
        <v>22</v>
      </c>
      <c r="B26" s="13" t="inlineStr">
        <is>
          <t>ad spend</t>
        </is>
      </c>
      <c r="C26" s="17" t="inlineStr">
        <is>
          <t>Negative spend</t>
        </is>
      </c>
      <c r="D26" s="7" t="n">
        <v>0</v>
      </c>
      <c r="E26" s="7" t="n"/>
      <c r="F26" s="5" t="n"/>
      <c r="G26" s="17" t="inlineStr">
        <is>
          <t>removed</t>
        </is>
      </c>
    </row>
    <row r="27">
      <c r="A27" s="13" t="n">
        <v>23</v>
      </c>
      <c r="B27" s="13" t="inlineStr">
        <is>
          <t>ad spend</t>
        </is>
      </c>
      <c r="C27" s="17" t="inlineStr">
        <is>
          <t>Clean ad-spend rows written</t>
        </is>
      </c>
      <c r="D27" s="7" t="n">
        <v>2740</v>
      </c>
      <c r="E27" s="7" t="n"/>
      <c r="F27" s="5" t="n">
        <v>288607.22</v>
      </c>
      <c r="G27" s="17" t="inlineStr">
        <is>
          <t>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README — how this workbook works and how to refresh it</t>
        </is>
      </c>
    </row>
    <row r="2">
      <c r="A2" s="2" t="inlineStr">
        <is>
          <t xml:space="preserve">Sample project — synthetic data, not client work. </t>
        </is>
      </c>
    </row>
    <row r="4" ht="48" customHeight="1">
      <c r="A4" s="14" t="inlineStr">
        <is>
          <t>What this is</t>
        </is>
      </c>
      <c r="B4" s="18" t="inlineStr">
        <is>
          <t>Monthly performance report for Northwind Home Goods (a fictional brand). Built from a Shopify order export and Meta/Google daily ad spend. All data is synthetic.</t>
        </is>
      </c>
    </row>
    <row r="5" ht="48" customHeight="1">
      <c r="A5" s="14" t="inlineStr">
        <is>
          <t>How to refresh (ops)</t>
        </is>
      </c>
      <c r="B5" s="18" t="inlineStr">
        <is>
          <t>1) Export orders from Shopify (Orders → Export → all orders, CSV, one row per line item) and save as data/raw/shopify_orders_export.csv.</t>
        </is>
      </c>
    </row>
    <row r="6" ht="48" customHeight="1">
      <c r="A6" s="14" t="inlineStr"/>
      <c r="B6" s="18" t="inlineStr">
        <is>
          <t>2) Export daily spend from Meta Ads Manager and Google Ads (date, campaign, spend) and append to data/raw/ad_spend_daily.csv with a 'channel' column (meta / google).</t>
        </is>
      </c>
    </row>
    <row r="7" ht="48" customHeight="1">
      <c r="A7" s="14" t="inlineStr"/>
      <c r="B7" s="18" t="inlineStr">
        <is>
          <t>3) Add the new month's CAD→USD rate to data/raw/fx_rates_monthly.csv (finance provides this). The pipeline stops with an error if a month is missing.</t>
        </is>
      </c>
    </row>
    <row r="8" ht="48" customHeight="1">
      <c r="A8" s="14" t="inlineStr"/>
      <c r="B8" s="18" t="inlineStr">
        <is>
          <t>4) From the project folder run:  python3 src/run_all.py   (≈10 seconds). It cleans, rebuilds this workbook, the charts and the executive summary, then runs the QA checks.</t>
        </is>
      </c>
    </row>
    <row r="9" ht="32" customHeight="1">
      <c r="A9" s="14" t="inlineStr"/>
      <c r="B9" s="18" t="inlineStr">
        <is>
          <t>5) Check the QA output says ALL CHECKS PASSED, and skim the Data Quality Log sheet for unusual counts.</t>
        </is>
      </c>
    </row>
    <row r="10" ht="48" customHeight="1">
      <c r="A10" s="14" t="inlineStr">
        <is>
          <t>Do not edit by hand</t>
        </is>
      </c>
      <c r="B10" s="18" t="inlineStr">
        <is>
          <t>This file is regenerated on every refresh — manual edits will be overwritten. Put commentary in a separate file.</t>
        </is>
      </c>
    </row>
    <row r="11" ht="48" customHeight="1">
      <c r="A11" s="14" t="inlineStr">
        <is>
          <t>Definitions</t>
        </is>
      </c>
      <c r="B11" s="18" t="inlineStr">
        <is>
          <t>Net revenue = gross sales − discounts − refunds (excl. shipping &amp; tax). AOV = net revenue ÷ orders. Repeat-customer rate (monthly) = returning customers ÷ customers that month; (overall) = share of customers with 2+ orders. ROAS = last-click net revenue ÷ spend. CAC = spend ÷ new customers acquired by that channel. MER = net revenue ÷ total ad spend.</t>
        </is>
      </c>
    </row>
    <row r="12" ht="48" customHeight="1">
      <c r="A12" s="14" t="inlineStr">
        <is>
          <t>Time zone</t>
        </is>
      </c>
      <c r="B12" s="18" t="inlineStr">
        <is>
          <t>Shopify timestamps arrive in mixed formats; all are converted to UTC then bucketed into months in America/New_York (store time). Naive timestamps are assumed to be store time.</t>
        </is>
      </c>
    </row>
    <row r="13" ht="32" customHeight="1">
      <c r="A13" s="14" t="inlineStr">
        <is>
          <t>Currency</t>
        </is>
      </c>
      <c r="B13" s="18" t="inlineStr">
        <is>
          <t>CAD orders are converted to USD with the monthly finance rate in fx_rates_monthly.csv.</t>
        </is>
      </c>
    </row>
    <row r="14" ht="48" customHeight="1">
      <c r="A14" s="14" t="inlineStr">
        <is>
          <t>Customers</t>
        </is>
      </c>
      <c r="B14" s="18" t="inlineStr">
        <is>
          <t>A customer is a unique, normalised email. Orders without an email count toward revenue and orders but not toward customer metrics.</t>
        </is>
      </c>
    </row>
    <row r="15" ht="32" customHeight="1">
      <c r="A15" s="14" t="inlineStr">
        <is>
          <t>Sheets</t>
        </is>
      </c>
      <c r="B15" s="18" t="inlineStr">
        <is>
          <t>Summary KPIs · Monthly · Cohorts · Channels · Products · Charts · Data Quality Log ·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2026-10-08T23:17:39Z</dcterms:created>
  <dcterms:modified xsi:type="dcterms:W3CDTF">2026-10-08T23:17:39Z</dcterms:modified>
</cp:coreProperties>
</file>